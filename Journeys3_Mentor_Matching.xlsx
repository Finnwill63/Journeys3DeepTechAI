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entors" sheetId="2" state="visible" r:id="rId4"/>
    <sheet name="AccuPredix" sheetId="3" state="visible" r:id="rId5"/>
    <sheet name="AgentFormers" sheetId="4" state="visible" r:id="rId6"/>
    <sheet name="Flowø" sheetId="5" state="visible" r:id="rId7"/>
    <sheet name="LEVIE" sheetId="6" state="visible" r:id="rId8"/>
    <sheet name="Medfinity" sheetId="7" state="visible" r:id="rId9"/>
    <sheet name="Ossify Health" sheetId="8" state="visible" r:id="rId10"/>
    <sheet name="RadiXpert AI" sheetId="9" state="visible" r:id="rId11"/>
    <sheet name="Selkotili" sheetId="10" state="visible" r:id="rId12"/>
    <sheet name="Straim" sheetId="11" state="visible" r:id="rId13"/>
    <sheet name="Teal" sheetId="12" state="visible" r:id="rId14"/>
    <sheet name="Valox" sheetId="13" state="visible" r:id="rId15"/>
    <sheet name="White Hat" sheetId="14" state="visible" r:id="rId16"/>
  </sheets>
  <definedNames>
    <definedName function="false" hidden="true" localSheetId="1" name="_xlnm._FilterDatabase" vbProcedure="false">Mentors!$A$4:$X$41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<sst xmlns="http://schemas.openxmlformats.org/spreadsheetml/2006/main" count="615" uniqueCount="187">
  <si>
    <t xml:space="preserve">Journeys 3 — Deep Tech &amp; AI  ·  Mentor Matching Workbook</t>
  </si>
  <si>
    <t xml:space="preserve">Internal — Will &amp; Fabian</t>
  </si>
  <si>
    <t xml:space="preserve">How this workbook is organised</t>
  </si>
  <si>
    <t xml:space="preserve">One tab per venture (12)</t>
  </si>
  <si>
    <t xml:space="preserve">Each shows the team’s stated needs and the top 3 mentor matches, ranked by fit (expertise ↔ needs + sector). Details (status, capacity, sector, base) auto-fill from the Mentors tab.</t>
  </si>
  <si>
    <t xml:space="preserve">Mentors tab</t>
  </si>
  <si>
    <t xml:space="preserve">The full searchable directory of all mentor sign-ups. Use the filter arrows on the header row to search by expertise (Y = yes), sector, capacity, base, etc.</t>
  </si>
  <si>
    <t xml:space="preserve">Adding ad-hoc mentors</t>
  </si>
  <si>
    <t xml:space="preserve">Add anyone new at the bottom of the Mentors tab (yellow rows). Once added, type their name into a venture tab’s “Add other / ad-hoc” rows and their details auto-fill.</t>
  </si>
  <si>
    <t xml:space="preserve">Assigning</t>
  </si>
  <si>
    <t xml:space="preserve">On each venture tab, use the yellow “Assign?” column to mark your pick (Assigned / Backup / No) and jot notes.</t>
  </si>
  <si>
    <t xml:space="preserve">Scope</t>
  </si>
  <si>
    <t xml:space="preserve">14 founder responses across 11 teams; White Hat from assessment (no survey). 21 mentors. Pool for matches excludes Will (host) and Samuli (declined). “Maybe” = not yet confirmed (Hanna, Anja).</t>
  </si>
  <si>
    <t xml:space="preserve">Mentor Directory — searchable</t>
  </si>
  <si>
    <t xml:space="preserve">Filter with the header arrows (row 4). Expertise columns: Y = yes. Add ad-hoc mentors in the yellow rows at the bottom — they become searchable here and usable on the venture tabs.</t>
  </si>
  <si>
    <t xml:space="preserve">Name</t>
  </si>
  <si>
    <t xml:space="preserve">Status</t>
  </si>
  <si>
    <t xml:space="preserve">Fundraising</t>
  </si>
  <si>
    <t xml:space="preserve">GTM / Sales</t>
  </si>
  <si>
    <t xml:space="preserve">Strategy / BM</t>
  </si>
  <si>
    <t xml:space="preserve">Team / Ops</t>
  </si>
  <si>
    <t xml:space="preserve">Partnerships</t>
  </si>
  <si>
    <t xml:space="preserve">Marketing</t>
  </si>
  <si>
    <t xml:space="preserve">Product</t>
  </si>
  <si>
    <t xml:space="preserve">Finance/Legal/IP</t>
  </si>
  <si>
    <t xml:space="preserve">AI / Data</t>
  </si>
  <si>
    <t xml:space="preserve">Health</t>
  </si>
  <si>
    <t xml:space="preserve">Climate / HW</t>
  </si>
  <si>
    <t xml:space="preserve">Software</t>
  </si>
  <si>
    <t xml:space="preserve">Cross-sector</t>
  </si>
  <si>
    <t xml:space="preserve">Sectors (detail)</t>
  </si>
  <si>
    <t xml:space="preserve">Capacity</t>
  </si>
  <si>
    <t xml:space="preserve">Cadence</t>
  </si>
  <si>
    <t xml:space="preserve">Online/In-person</t>
  </si>
  <si>
    <t xml:space="preserve">Based</t>
  </si>
  <si>
    <t xml:space="preserve">Country</t>
  </si>
  <si>
    <t xml:space="preserve">Demo Day</t>
  </si>
  <si>
    <t xml:space="preserve">Wants to focus on</t>
  </si>
  <si>
    <t xml:space="preserve">Notes</t>
  </si>
  <si>
    <t xml:space="preserve">Will Cardwell</t>
  </si>
  <si>
    <t xml:space="preserve">Host</t>
  </si>
  <si>
    <t xml:space="preserve">Y</t>
  </si>
  <si>
    <t xml:space="preserve">AI/ML &amp; Data, Hardware, Materials &amp; Manufacturing</t>
  </si>
  <si>
    <t xml:space="preserve">One</t>
  </si>
  <si>
    <t xml:space="preserve">Every three weeks — the programme norm</t>
  </si>
  <si>
    <t xml:space="preserve">Online only</t>
  </si>
  <si>
    <t xml:space="preserve">Sweden</t>
  </si>
  <si>
    <t xml:space="preserve">Yes, count me in</t>
  </si>
  <si>
    <t xml:space="preserve">Knocking down barriers.</t>
  </si>
  <si>
    <t xml:space="preserve">Geoffroy Van Humbeeck</t>
  </si>
  <si>
    <t xml:space="preserve">In</t>
  </si>
  <si>
    <t xml:space="preserve">More</t>
  </si>
  <si>
    <t xml:space="preserve">Let the team and I work it out</t>
  </si>
  <si>
    <t xml:space="preserve">In person when I can</t>
  </si>
  <si>
    <t xml:space="preserve">Belgium</t>
  </si>
  <si>
    <t xml:space="preserve">Probably — I need to check travel and dates</t>
  </si>
  <si>
    <t xml:space="preserve">I most want to help founders turn international ambition into commercial reality: sharpening their positioning, choosing the right route to market, and winning customers or partners abroad. I’d be irritated not to be asked what actually breaks between a strong product and repeatable international sales.</t>
  </si>
  <si>
    <t xml:space="preserve">Charles Johnson</t>
  </si>
  <si>
    <t xml:space="preserve">United States (ESTimezone)</t>
  </si>
  <si>
    <t xml:space="preserve">I’d join online if that’s possible</t>
  </si>
  <si>
    <t xml:space="preserve">Product strategy and brand narrative.</t>
  </si>
  <si>
    <t xml:space="preserve">Samuli Salmela</t>
  </si>
  <si>
    <t xml:space="preserve">Declined</t>
  </si>
  <si>
    <t xml:space="preserve">Dan Newmark</t>
  </si>
  <si>
    <t xml:space="preserve">AI/ML &amp; Data, Software / Cloud / Telecom</t>
  </si>
  <si>
    <t xml:space="preserve">Usa</t>
  </si>
  <si>
    <t xml:space="preserve">Is it feasible to pilot or test this in USA/Silicon Valley where I live ?</t>
  </si>
  <si>
    <t xml:space="preserve">Soma Sarkar</t>
  </si>
  <si>
    <t xml:space="preserve">Software / Cloud / Telecom, Defence &amp; Dual-use</t>
  </si>
  <si>
    <t xml:space="preserve">Two</t>
  </si>
  <si>
    <t xml:space="preserve">Either</t>
  </si>
  <si>
    <t xml:space="preserve">Finland</t>
  </si>
  <si>
    <t xml:space="preserve">Spend time on what is the end user value and business case.</t>
  </si>
  <si>
    <t xml:space="preserve">Indrajit Chaudjuri</t>
  </si>
  <si>
    <t xml:space="preserve">Product &amp; Business Mgmt.</t>
  </si>
  <si>
    <t xml:space="preserve">Sagar Tandon</t>
  </si>
  <si>
    <t xml:space="preserve">Energy, Climate &amp; Sustainability, Health &amp; Bio</t>
  </si>
  <si>
    <t xml:space="preserve">Work with founders on understanding what kind of business they want to build and coach/guide them accordingly, not as one-size fits solution</t>
  </si>
  <si>
    <t xml:space="preserve">Sergio Rodrigues</t>
  </si>
  <si>
    <t xml:space="preserve">Spain</t>
  </si>
  <si>
    <t xml:space="preserve">Convince people to give money: pay por invest</t>
  </si>
  <si>
    <t xml:space="preserve">Oriol Pascual</t>
  </si>
  <si>
    <t xml:space="preserve">Hardware, Materials &amp; Manufacturing, Energy, Climate &amp; Sustainability</t>
  </si>
  <si>
    <t xml:space="preserve">Ramón</t>
  </si>
  <si>
    <t xml:space="preserve">Teaching them how to sell their businesses and themselves using behavioural psychology.</t>
  </si>
  <si>
    <t xml:space="preserve">Andres Leonardo Martinez Ortiz</t>
  </si>
  <si>
    <t xml:space="preserve">Switzerland</t>
  </si>
  <si>
    <t xml:space="preserve">Ariel Cohen</t>
  </si>
  <si>
    <t xml:space="preserve">Defence &amp; Dual-use, Space &amp; Sensing</t>
  </si>
  <si>
    <t xml:space="preserve">Israel</t>
  </si>
  <si>
    <t xml:space="preserve">Hanna Helin</t>
  </si>
  <si>
    <t xml:space="preserve">Maybe</t>
  </si>
  <si>
    <t xml:space="preserve">AI/ML &amp; Data, Cross-sector</t>
  </si>
  <si>
    <t xml:space="preserve">USA</t>
  </si>
  <si>
    <t xml:space="preserve">Strategy / GTM approach</t>
  </si>
  <si>
    <t xml:space="preserve">Asaf Wolff</t>
  </si>
  <si>
    <t xml:space="preserve">Michael Vormittag</t>
  </si>
  <si>
    <t xml:space="preserve">Germany</t>
  </si>
  <si>
    <t xml:space="preserve">Work on strategic positioning, product market fit and growth in the scale" phase  first enterprise customer"</t>
  </si>
  <si>
    <t xml:space="preserve">Veli-pekka Luoma</t>
  </si>
  <si>
    <t xml:space="preserve">Monthly</t>
  </si>
  <si>
    <t xml:space="preserve">Strategy, G2M, Business model, offering design</t>
  </si>
  <si>
    <t xml:space="preserve">Jani Kangas</t>
  </si>
  <si>
    <t xml:space="preserve">AI/ML &amp; Data, Energy, Climate &amp; Sustainability</t>
  </si>
  <si>
    <t xml:space="preserve">Business, technology and strategies of startups, as well as product positioning</t>
  </si>
  <si>
    <t xml:space="preserve">Anja Leissner</t>
  </si>
  <si>
    <t xml:space="preserve">Taking them to the next step</t>
  </si>
  <si>
    <t xml:space="preserve">Matti Aksela</t>
  </si>
  <si>
    <t xml:space="preserve">AI/ML &amp; Data</t>
  </si>
  <si>
    <t xml:space="preserve">Solving problems</t>
  </si>
  <si>
    <t xml:space="preserve">Pablo Mosquera</t>
  </si>
  <si>
    <t xml:space="preserve">Health &amp; Bio, Cross-sector</t>
  </si>
  <si>
    <t xml:space="preserve">I’d most like to help founders identify the next concrete milestone that will make their startup more investable—whether that means securing a first customer, validating pricing, narrowing the product roadmap, or preparing for a funding round.</t>
  </si>
  <si>
    <t xml:space="preserve">Jane Example</t>
  </si>
  <si>
    <t xml:space="preserve">Ad-hoc</t>
  </si>
  <si>
    <t xml:space="preserve">Abroad</t>
  </si>
  <si>
    <t xml:space="preserve">—</t>
  </si>
  <si>
    <t xml:space="preserve">Domain expert intro</t>
  </si>
  <si>
    <t xml:space="preserve">example row — overwrite</t>
  </si>
  <si>
    <t xml:space="preserve">AccuPredix</t>
  </si>
  <si>
    <t xml:space="preserve">AI demand-forecasting for SMEs</t>
  </si>
  <si>
    <t xml:space="preserve">Team’s stated needs:</t>
  </si>
  <si>
    <t xml:space="preserve">GTM/sales · Fundraising · Business model · Legal/IP · Partnerships</t>
  </si>
  <si>
    <t xml:space="preserve">Rank</t>
  </si>
  <si>
    <t xml:space="preserve">Mentor</t>
  </si>
  <si>
    <t xml:space="preserve">Why this is a fit</t>
  </si>
  <si>
    <t xml:space="preserve">Sector</t>
  </si>
  <si>
    <t xml:space="preserve">Assign?</t>
  </si>
  <si>
    <t xml:space="preserve">GTM/sales · strategy/BM · partnerships · AI/data sector  (tentative, USA)</t>
  </si>
  <si>
    <t xml:space="preserve">GTM/sales · strategy/BM · partnerships · cross-sector</t>
  </si>
  <si>
    <t xml:space="preserve">GTM/sales · strategy/BM · partnerships · cross-sector  (Belgium)</t>
  </si>
  <si>
    <t xml:space="preserve">Add other / ad-hoc candidates</t>
  </si>
  <si>
    <t xml:space="preserve">Type a mentor name (must exist on the Mentors tab) — their details auto-fill. Add brand-new people on the Mentors tab first.</t>
  </si>
  <si>
    <t xml:space="preserve">why you’re considering them</t>
  </si>
  <si>
    <t xml:space="preserve">AgentFormers</t>
  </si>
  <si>
    <t xml:space="preserve">On-prem enterprise AI agents</t>
  </si>
  <si>
    <t xml:space="preserve">GTM/sales · Fundraising · Business model · Legal/IP · Partnerships · Team/hiring</t>
  </si>
  <si>
    <t xml:space="preserve">strategy/BM · partnerships · team/ops · AI/data sector  (Usa)</t>
  </si>
  <si>
    <t xml:space="preserve">Flowø</t>
  </si>
  <si>
    <t xml:space="preserve">AI governance for SMEs</t>
  </si>
  <si>
    <t xml:space="preserve">GTM/sales · Fundraising · Business model · Legal/IP</t>
  </si>
  <si>
    <t xml:space="preserve">fundraising · strategy/BM · finance/legal/IP · cross-sector  (Spain)</t>
  </si>
  <si>
    <t xml:space="preserve">fundraising · strategy/BM · finance/legal/IP</t>
  </si>
  <si>
    <t xml:space="preserve">GTM/sales · strategy/BM · AI/data sector</t>
  </si>
  <si>
    <t xml:space="preserve">LEVIE</t>
  </si>
  <si>
    <t xml:space="preserve">Acoustic-levitation breath diagnostics</t>
  </si>
  <si>
    <t xml:space="preserve">fundraising · strategy/BM · finance/legal/IP · health sector  (Spain)</t>
  </si>
  <si>
    <t xml:space="preserve">fundraising · strategy/BM · finance/legal/IP · hardware sector</t>
  </si>
  <si>
    <t xml:space="preserve">fundraising · strategy/BM · health sector</t>
  </si>
  <si>
    <t xml:space="preserve">Medfinity</t>
  </si>
  <si>
    <t xml:space="preserve">Med-student study platform</t>
  </si>
  <si>
    <t xml:space="preserve">GTM/sales · Business model · Partnerships · Team/hiring</t>
  </si>
  <si>
    <t xml:space="preserve">strategy/BM · team/ops · health sector</t>
  </si>
  <si>
    <t xml:space="preserve">Ossify Health</t>
  </si>
  <si>
    <t xml:space="preserve">Fracture / osteoporosis risk decision support</t>
  </si>
  <si>
    <t xml:space="preserve">GTM/sales · Business model · Partnerships · Regulatory/clinical</t>
  </si>
  <si>
    <t xml:space="preserve">strategy/BM · health sector</t>
  </si>
  <si>
    <t xml:space="preserve">strategy/BM · health sector  (Spain)</t>
  </si>
  <si>
    <t xml:space="preserve">RadiXpert AI</t>
  </si>
  <si>
    <t xml:space="preserve">AI radiology imaging</t>
  </si>
  <si>
    <t xml:space="preserve">Fundraising · Business model · Legal/IP · Partnerships · Regulatory/clinical</t>
  </si>
  <si>
    <t xml:space="preserve">fundraising · strategy/BM · health sector  (tentative, Sweden)</t>
  </si>
  <si>
    <t xml:space="preserve">Selkotili</t>
  </si>
  <si>
    <t xml:space="preserve">AI accounting &amp; bookkeeping</t>
  </si>
  <si>
    <t xml:space="preserve">GTM/sales · Fundraising · Legal/IP · Partnerships</t>
  </si>
  <si>
    <t xml:space="preserve">GTM/sales · fundraising · AI/data sector  (Spain)</t>
  </si>
  <si>
    <t xml:space="preserve">GTM/sales · partnerships · AI/data sector  (tentative, USA)</t>
  </si>
  <si>
    <t xml:space="preserve">GTM/sales · partnerships · cross-sector</t>
  </si>
  <si>
    <t xml:space="preserve">Straim</t>
  </si>
  <si>
    <t xml:space="preserve">B2B AI music streaming</t>
  </si>
  <si>
    <t xml:space="preserve">GTM/sales · Fundraising · Legal/IP · Team/hiring</t>
  </si>
  <si>
    <t xml:space="preserve">GTM/sales · team/ops · cross-sector</t>
  </si>
  <si>
    <t xml:space="preserve">GTM/sales · team/ops · cross-sector  (USA)</t>
  </si>
  <si>
    <t xml:space="preserve">Teal</t>
  </si>
  <si>
    <t xml:space="preserve">Automated scam-baiting</t>
  </si>
  <si>
    <t xml:space="preserve">GTM/sales · Business model · Legal/IP · Team/hiring · Product</t>
  </si>
  <si>
    <t xml:space="preserve">strategy/BM · team/ops · product · AI/data sector</t>
  </si>
  <si>
    <t xml:space="preserve">strategy/BM · team/ops · product · AI/data sector  (Switzerland)</t>
  </si>
  <si>
    <t xml:space="preserve">team/ops · product · software sector</t>
  </si>
  <si>
    <t xml:space="preserve">Valox</t>
  </si>
  <si>
    <t xml:space="preserve">Green-chemistry photocatalysis</t>
  </si>
  <si>
    <t xml:space="preserve">GTM/sales · Fundraising · Business model · Partnerships</t>
  </si>
  <si>
    <t xml:space="preserve">fundraising · strategy/BM · climate sector</t>
  </si>
  <si>
    <t xml:space="preserve">fundraising · strategy/BM · hardware sector</t>
  </si>
  <si>
    <t xml:space="preserve">White Hat</t>
  </si>
  <si>
    <t xml:space="preserve">AI construction PM (from assessment; no survey)</t>
  </si>
  <si>
    <t xml:space="preserve">GTM/sales · Fundraising · Business model · Partnerships · Team/hiring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</si>
</sst>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A1A2E"/>
      <name val="Arial"/>
      <family val="0"/>
      <charset val="1"/>
    </font>
    <font>
      <i val="true"/>
      <sz val="10"/>
      <color rgb="FFB0592B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0"/>
      <color rgb="FF2563A8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6"/>
      <color rgb="FF1A1A2E"/>
      <name val="Arial"/>
      <family val="0"/>
      <charset val="1"/>
    </font>
    <font>
      <i val="true"/>
      <sz val="10"/>
      <color rgb="FF6B6F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2563A8"/>
      <name val="Arial"/>
      <family val="0"/>
      <charset val="1"/>
    </font>
    <font>
      <i val="true"/>
      <sz val="9"/>
      <color rgb="FF9A9DB0"/>
      <name val="Arial"/>
      <family val="0"/>
      <charset val="1"/>
    </font>
    <font>
      <b val="true"/>
      <sz val="11"/>
      <color rgb="FF2563A8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B6F80"/>
      <name val="Arial"/>
      <family val="0"/>
      <charset val="1"/>
    </font>
    <font>
      <i val="true"/>
      <sz val="10"/>
      <color rgb="FF9A9DB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A8"/>
        <bgColor rgb="FF3366FF"/>
      </patternFill>
    </fill>
    <fill>
      <patternFill patternType="solid">
        <fgColor rgb="FFFFF6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BE6"/>
      </left>
      <right style="thin">
        <color rgb="FFD8DBE6"/>
      </right>
      <top style="thin">
        <color rgb="FFD8DBE6"/>
      </top>
      <bottom style="thin">
        <color rgb="FFD8DB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563A8"/>
          <bgColor rgb="FF000000"/>
        </patternFill>
      </fill>
    </dxf>
    <dxf>
      <fill>
        <patternFill patternType="solid">
          <fgColor rgb="FFFFF6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A9DB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6"/>
      <rgbColor rgb="FFCCFFFF"/>
      <rgbColor rgb="FF660066"/>
      <rgbColor rgb="FFFF8080"/>
      <rgbColor rgb="FF2563A8"/>
      <rgbColor rgb="FFD8DB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F80"/>
      <rgbColor rgb="FF9A9DB0"/>
      <rgbColor rgb="FF003366"/>
      <rgbColor rgb="FF339966"/>
      <rgbColor rgb="FF003300"/>
      <rgbColor rgb="FF333300"/>
      <rgbColor rgb="FFB0592B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0" hidden="false" customHeight="true" outlineLevel="0" collapsed="false">
      <c r="A3" s="3"/>
    </row>
    <row r="4" customFormat="false" ht="30" hidden="false" customHeight="tru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5" t="s">
        <v>4</v>
      </c>
    </row>
    <row r="6" customFormat="false" ht="30" hidden="false" customHeight="true" outlineLevel="0" collapsed="false">
      <c r="A6" s="4" t="s">
        <v>5</v>
      </c>
      <c r="B6" s="5" t="s">
        <v>6</v>
      </c>
    </row>
    <row r="7" customFormat="false" ht="30" hidden="false" customHeight="true" outlineLevel="0" collapsed="false">
      <c r="A7" s="4" t="s">
        <v>7</v>
      </c>
      <c r="B7" s="5" t="s">
        <v>8</v>
      </c>
    </row>
    <row r="8" customFormat="false" ht="30" hidden="false" customHeight="true" outlineLevel="0" collapsed="false">
      <c r="A8" s="4" t="s">
        <v>9</v>
      </c>
      <c r="B8" s="5" t="s">
        <v>10</v>
      </c>
    </row>
    <row r="9" customFormat="false" ht="30" hidden="false" customHeight="true" outlineLevel="0" collapsed="false">
      <c r="A9" s="3"/>
    </row>
    <row r="10" customFormat="false" ht="30" hidden="false" customHeight="true" outlineLevel="0" collapsed="false">
      <c r="A10" s="4" t="s">
        <v>11</v>
      </c>
      <c r="B10" s="5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5" min="3" style="0" width="8"/>
    <col collapsed="false" customWidth="true" hidden="false" outlineLevel="0" max="6" min="6" style="0" width="7"/>
    <col collapsed="false" customWidth="true" hidden="false" outlineLevel="0" max="8" min="7" style="0" width="8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2" min="11" style="0" width="6"/>
    <col collapsed="false" customWidth="true" hidden="false" outlineLevel="0" max="15" min="13" style="0" width="7"/>
    <col collapsed="false" customWidth="true" hidden="false" outlineLevel="0" max="16" min="16" style="0" width="34"/>
    <col collapsed="false" customWidth="true" hidden="false" outlineLevel="0" max="17" min="17" style="0" width="9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2"/>
    <col collapsed="false" customWidth="true" hidden="false" outlineLevel="0" max="21" min="21" style="0" width="14"/>
    <col collapsed="false" customWidth="true" hidden="false" outlineLevel="0" max="22" min="22" style="0" width="20"/>
    <col collapsed="false" customWidth="true" hidden="false" outlineLevel="0" max="23" min="23" style="0" width="40"/>
    <col collapsed="false" customWidth="true" hidden="false" outlineLevel="0" max="24" min="24" style="0" width="26"/>
  </cols>
  <sheetData>
    <row r="1" customFormat="false" ht="19.7" hidden="false" customHeight="false" outlineLevel="0" collapsed="false">
      <c r="A1" s="6" t="s">
        <v>13</v>
      </c>
    </row>
    <row r="2" customFormat="false" ht="15" hidden="false" customHeight="false" outlineLevel="0" collapsed="false">
      <c r="A2" s="7" t="s">
        <v>14</v>
      </c>
    </row>
    <row r="4" customFormat="false" ht="46.25" hidden="false" customHeight="false" outlineLevel="0" collapsed="false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23</v>
      </c>
      <c r="J4" s="8" t="s">
        <v>24</v>
      </c>
      <c r="K4" s="8" t="s">
        <v>25</v>
      </c>
      <c r="L4" s="8" t="s">
        <v>26</v>
      </c>
      <c r="M4" s="8" t="s">
        <v>27</v>
      </c>
      <c r="N4" s="8" t="s">
        <v>28</v>
      </c>
      <c r="O4" s="8" t="s">
        <v>29</v>
      </c>
      <c r="P4" s="8" t="s">
        <v>30</v>
      </c>
      <c r="Q4" s="8" t="s">
        <v>31</v>
      </c>
      <c r="R4" s="8" t="s">
        <v>32</v>
      </c>
      <c r="S4" s="8" t="s">
        <v>33</v>
      </c>
      <c r="T4" s="8" t="s">
        <v>34</v>
      </c>
      <c r="U4" s="8" t="s">
        <v>35</v>
      </c>
      <c r="V4" s="8" t="s">
        <v>36</v>
      </c>
      <c r="W4" s="8" t="s">
        <v>37</v>
      </c>
      <c r="X4" s="8" t="s">
        <v>38</v>
      </c>
    </row>
    <row r="5" customFormat="false" ht="22.35" hidden="false" customHeight="false" outlineLevel="0" collapsed="false">
      <c r="A5" s="9" t="s">
        <v>39</v>
      </c>
      <c r="B5" s="9" t="s">
        <v>40</v>
      </c>
      <c r="C5" s="10" t="s">
        <v>41</v>
      </c>
      <c r="D5" s="11"/>
      <c r="E5" s="10" t="s">
        <v>41</v>
      </c>
      <c r="F5" s="11"/>
      <c r="G5" s="11"/>
      <c r="H5" s="10" t="s">
        <v>41</v>
      </c>
      <c r="I5" s="11"/>
      <c r="J5" s="11"/>
      <c r="K5" s="10" t="s">
        <v>41</v>
      </c>
      <c r="L5" s="11"/>
      <c r="M5" s="10" t="s">
        <v>41</v>
      </c>
      <c r="N5" s="11"/>
      <c r="O5" s="11"/>
      <c r="P5" s="12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46</v>
      </c>
      <c r="V5" s="9" t="s">
        <v>47</v>
      </c>
      <c r="W5" s="12" t="s">
        <v>48</v>
      </c>
      <c r="X5" s="9"/>
    </row>
    <row r="6" customFormat="false" ht="64.15" hidden="false" customHeight="false" outlineLevel="0" collapsed="false">
      <c r="A6" s="9" t="s">
        <v>49</v>
      </c>
      <c r="B6" s="9" t="s">
        <v>50</v>
      </c>
      <c r="C6" s="11"/>
      <c r="D6" s="10" t="s">
        <v>41</v>
      </c>
      <c r="E6" s="10" t="s">
        <v>41</v>
      </c>
      <c r="F6" s="11"/>
      <c r="G6" s="10" t="s">
        <v>41</v>
      </c>
      <c r="H6" s="11"/>
      <c r="I6" s="11"/>
      <c r="J6" s="11"/>
      <c r="K6" s="11"/>
      <c r="L6" s="11"/>
      <c r="M6" s="11"/>
      <c r="N6" s="11"/>
      <c r="O6" s="10" t="s">
        <v>41</v>
      </c>
      <c r="P6" s="12" t="s">
        <v>29</v>
      </c>
      <c r="Q6" s="9" t="s">
        <v>51</v>
      </c>
      <c r="R6" s="9" t="s">
        <v>52</v>
      </c>
      <c r="S6" s="9" t="s">
        <v>53</v>
      </c>
      <c r="T6" s="9" t="s">
        <v>54</v>
      </c>
      <c r="U6" s="9" t="s">
        <v>54</v>
      </c>
      <c r="V6" s="9" t="s">
        <v>55</v>
      </c>
      <c r="W6" s="12" t="s">
        <v>56</v>
      </c>
      <c r="X6" s="9"/>
    </row>
    <row r="7" customFormat="false" ht="15" hidden="false" customHeight="false" outlineLevel="0" collapsed="false">
      <c r="A7" s="9" t="s">
        <v>57</v>
      </c>
      <c r="B7" s="9" t="s">
        <v>50</v>
      </c>
      <c r="C7" s="11"/>
      <c r="D7" s="11"/>
      <c r="E7" s="11"/>
      <c r="F7" s="11"/>
      <c r="G7" s="11"/>
      <c r="H7" s="10" t="s">
        <v>41</v>
      </c>
      <c r="I7" s="10" t="s">
        <v>41</v>
      </c>
      <c r="J7" s="11"/>
      <c r="K7" s="11"/>
      <c r="L7" s="11"/>
      <c r="M7" s="11"/>
      <c r="N7" s="11"/>
      <c r="O7" s="10" t="s">
        <v>41</v>
      </c>
      <c r="P7" s="12" t="s">
        <v>29</v>
      </c>
      <c r="Q7" s="9" t="s">
        <v>43</v>
      </c>
      <c r="R7" s="9" t="s">
        <v>52</v>
      </c>
      <c r="S7" s="9" t="s">
        <v>45</v>
      </c>
      <c r="T7" s="9" t="s">
        <v>58</v>
      </c>
      <c r="U7" s="9" t="s">
        <v>58</v>
      </c>
      <c r="V7" s="9" t="s">
        <v>59</v>
      </c>
      <c r="W7" s="12" t="s">
        <v>60</v>
      </c>
      <c r="X7" s="9"/>
    </row>
    <row r="8" customFormat="false" ht="15" hidden="false" customHeight="false" outlineLevel="0" collapsed="false">
      <c r="A8" s="13" t="s">
        <v>61</v>
      </c>
      <c r="B8" s="13" t="s">
        <v>62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5"/>
      <c r="Q8" s="13"/>
      <c r="R8" s="13"/>
      <c r="S8" s="13"/>
      <c r="T8" s="13"/>
      <c r="U8" s="13"/>
      <c r="V8" s="13"/>
      <c r="W8" s="15"/>
      <c r="X8" s="13"/>
    </row>
    <row r="9" customFormat="false" ht="22.35" hidden="false" customHeight="false" outlineLevel="0" collapsed="false">
      <c r="A9" s="9" t="s">
        <v>63</v>
      </c>
      <c r="B9" s="9" t="s">
        <v>50</v>
      </c>
      <c r="C9" s="11"/>
      <c r="D9" s="11"/>
      <c r="E9" s="10" t="s">
        <v>41</v>
      </c>
      <c r="F9" s="10" t="s">
        <v>41</v>
      </c>
      <c r="G9" s="10" t="s">
        <v>41</v>
      </c>
      <c r="H9" s="11"/>
      <c r="I9" s="11"/>
      <c r="J9" s="11"/>
      <c r="K9" s="10" t="s">
        <v>41</v>
      </c>
      <c r="L9" s="11"/>
      <c r="M9" s="11"/>
      <c r="N9" s="10" t="s">
        <v>41</v>
      </c>
      <c r="O9" s="11"/>
      <c r="P9" s="12" t="s">
        <v>64</v>
      </c>
      <c r="Q9" s="9" t="s">
        <v>43</v>
      </c>
      <c r="R9" s="9" t="s">
        <v>44</v>
      </c>
      <c r="S9" s="9" t="s">
        <v>45</v>
      </c>
      <c r="T9" s="9" t="s">
        <v>65</v>
      </c>
      <c r="U9" s="9" t="s">
        <v>65</v>
      </c>
      <c r="V9" s="9" t="s">
        <v>59</v>
      </c>
      <c r="W9" s="12" t="s">
        <v>66</v>
      </c>
      <c r="X9" s="9"/>
    </row>
    <row r="10" customFormat="false" ht="22.35" hidden="false" customHeight="false" outlineLevel="0" collapsed="false">
      <c r="A10" s="9" t="s">
        <v>67</v>
      </c>
      <c r="B10" s="9" t="s">
        <v>50</v>
      </c>
      <c r="C10" s="11"/>
      <c r="D10" s="11"/>
      <c r="E10" s="11"/>
      <c r="F10" s="10" t="s">
        <v>41</v>
      </c>
      <c r="G10" s="11"/>
      <c r="H10" s="11"/>
      <c r="I10" s="10" t="s">
        <v>41</v>
      </c>
      <c r="J10" s="11"/>
      <c r="K10" s="11"/>
      <c r="L10" s="11"/>
      <c r="M10" s="11"/>
      <c r="N10" s="10" t="s">
        <v>41</v>
      </c>
      <c r="O10" s="11"/>
      <c r="P10" s="12" t="s">
        <v>68</v>
      </c>
      <c r="Q10" s="9" t="s">
        <v>69</v>
      </c>
      <c r="R10" s="9" t="s">
        <v>52</v>
      </c>
      <c r="S10" s="9" t="s">
        <v>70</v>
      </c>
      <c r="T10" s="9" t="s">
        <v>71</v>
      </c>
      <c r="U10" s="9"/>
      <c r="V10" s="9" t="s">
        <v>47</v>
      </c>
      <c r="W10" s="12" t="s">
        <v>72</v>
      </c>
      <c r="X10" s="9"/>
    </row>
    <row r="11" customFormat="false" ht="15" hidden="false" customHeight="false" outlineLevel="0" collapsed="false">
      <c r="A11" s="9" t="s">
        <v>73</v>
      </c>
      <c r="B11" s="9" t="s">
        <v>50</v>
      </c>
      <c r="C11" s="11"/>
      <c r="D11" s="10" t="s">
        <v>41</v>
      </c>
      <c r="E11" s="10" t="s">
        <v>41</v>
      </c>
      <c r="F11" s="11"/>
      <c r="G11" s="11"/>
      <c r="H11" s="11"/>
      <c r="I11" s="10" t="s">
        <v>41</v>
      </c>
      <c r="J11" s="11"/>
      <c r="K11" s="10" t="s">
        <v>41</v>
      </c>
      <c r="L11" s="11"/>
      <c r="M11" s="11"/>
      <c r="N11" s="10" t="s">
        <v>41</v>
      </c>
      <c r="O11" s="11"/>
      <c r="P11" s="12" t="s">
        <v>64</v>
      </c>
      <c r="Q11" s="9" t="s">
        <v>69</v>
      </c>
      <c r="R11" s="9" t="s">
        <v>44</v>
      </c>
      <c r="S11" s="9" t="s">
        <v>45</v>
      </c>
      <c r="T11" s="9" t="s">
        <v>71</v>
      </c>
      <c r="U11" s="9"/>
      <c r="V11" s="9" t="s">
        <v>47</v>
      </c>
      <c r="W11" s="12" t="s">
        <v>74</v>
      </c>
      <c r="X11" s="9"/>
    </row>
    <row r="12" customFormat="false" ht="32.8" hidden="false" customHeight="false" outlineLevel="0" collapsed="false">
      <c r="A12" s="9" t="s">
        <v>75</v>
      </c>
      <c r="B12" s="9" t="s">
        <v>50</v>
      </c>
      <c r="C12" s="10" t="s">
        <v>41</v>
      </c>
      <c r="D12" s="11"/>
      <c r="E12" s="10" t="s">
        <v>41</v>
      </c>
      <c r="F12" s="10" t="s">
        <v>41</v>
      </c>
      <c r="G12" s="11"/>
      <c r="H12" s="11"/>
      <c r="I12" s="11"/>
      <c r="J12" s="11"/>
      <c r="K12" s="11"/>
      <c r="L12" s="10" t="s">
        <v>41</v>
      </c>
      <c r="M12" s="10" t="s">
        <v>41</v>
      </c>
      <c r="N12" s="11"/>
      <c r="O12" s="11"/>
      <c r="P12" s="12" t="s">
        <v>76</v>
      </c>
      <c r="Q12" s="9" t="s">
        <v>51</v>
      </c>
      <c r="R12" s="9" t="s">
        <v>44</v>
      </c>
      <c r="S12" s="9" t="s">
        <v>53</v>
      </c>
      <c r="T12" s="9" t="s">
        <v>71</v>
      </c>
      <c r="U12" s="9"/>
      <c r="V12" s="9" t="s">
        <v>55</v>
      </c>
      <c r="W12" s="12" t="s">
        <v>77</v>
      </c>
      <c r="X12" s="9"/>
    </row>
    <row r="13" customFormat="false" ht="15" hidden="false" customHeight="false" outlineLevel="0" collapsed="false">
      <c r="A13" s="9" t="s">
        <v>78</v>
      </c>
      <c r="B13" s="9" t="s">
        <v>50</v>
      </c>
      <c r="C13" s="10" t="s">
        <v>41</v>
      </c>
      <c r="D13" s="10" t="s">
        <v>41</v>
      </c>
      <c r="E13" s="11"/>
      <c r="F13" s="11"/>
      <c r="G13" s="11"/>
      <c r="H13" s="11"/>
      <c r="I13" s="11"/>
      <c r="J13" s="11"/>
      <c r="K13" s="10" t="s">
        <v>41</v>
      </c>
      <c r="L13" s="11"/>
      <c r="M13" s="11"/>
      <c r="N13" s="10" t="s">
        <v>41</v>
      </c>
      <c r="O13" s="11"/>
      <c r="P13" s="12" t="s">
        <v>64</v>
      </c>
      <c r="Q13" s="9" t="s">
        <v>43</v>
      </c>
      <c r="R13" s="9" t="s">
        <v>44</v>
      </c>
      <c r="S13" s="9" t="s">
        <v>45</v>
      </c>
      <c r="T13" s="9" t="s">
        <v>79</v>
      </c>
      <c r="U13" s="9" t="s">
        <v>79</v>
      </c>
      <c r="V13" s="9" t="s">
        <v>55</v>
      </c>
      <c r="W13" s="12" t="s">
        <v>80</v>
      </c>
      <c r="X13" s="9"/>
    </row>
    <row r="14" customFormat="false" ht="22.35" hidden="false" customHeight="false" outlineLevel="0" collapsed="false">
      <c r="A14" s="9" t="s">
        <v>81</v>
      </c>
      <c r="B14" s="9" t="s">
        <v>50</v>
      </c>
      <c r="C14" s="10" t="s">
        <v>41</v>
      </c>
      <c r="D14" s="11"/>
      <c r="E14" s="10" t="s">
        <v>41</v>
      </c>
      <c r="F14" s="11"/>
      <c r="G14" s="11"/>
      <c r="H14" s="11"/>
      <c r="I14" s="11"/>
      <c r="J14" s="10" t="s">
        <v>41</v>
      </c>
      <c r="K14" s="11"/>
      <c r="L14" s="11"/>
      <c r="M14" s="10" t="s">
        <v>41</v>
      </c>
      <c r="N14" s="11"/>
      <c r="O14" s="11"/>
      <c r="P14" s="12" t="s">
        <v>82</v>
      </c>
      <c r="Q14" s="9" t="s">
        <v>69</v>
      </c>
      <c r="R14" s="9" t="s">
        <v>44</v>
      </c>
      <c r="S14" s="9" t="s">
        <v>45</v>
      </c>
      <c r="T14" s="9" t="s">
        <v>71</v>
      </c>
      <c r="U14" s="9"/>
      <c r="V14" s="9" t="s">
        <v>55</v>
      </c>
      <c r="W14" s="12"/>
      <c r="X14" s="9"/>
    </row>
    <row r="15" customFormat="false" ht="22.35" hidden="false" customHeight="false" outlineLevel="0" collapsed="false">
      <c r="A15" s="9" t="s">
        <v>83</v>
      </c>
      <c r="B15" s="9" t="s">
        <v>50</v>
      </c>
      <c r="C15" s="11"/>
      <c r="D15" s="10" t="s">
        <v>41</v>
      </c>
      <c r="E15" s="11"/>
      <c r="F15" s="10" t="s">
        <v>41</v>
      </c>
      <c r="G15" s="11"/>
      <c r="H15" s="10" t="s">
        <v>41</v>
      </c>
      <c r="I15" s="11"/>
      <c r="J15" s="11"/>
      <c r="K15" s="11"/>
      <c r="L15" s="11"/>
      <c r="M15" s="11"/>
      <c r="N15" s="11"/>
      <c r="O15" s="10" t="s">
        <v>41</v>
      </c>
      <c r="P15" s="12" t="s">
        <v>29</v>
      </c>
      <c r="Q15" s="9" t="s">
        <v>43</v>
      </c>
      <c r="R15" s="9" t="s">
        <v>52</v>
      </c>
      <c r="S15" s="9" t="s">
        <v>70</v>
      </c>
      <c r="T15" s="9" t="s">
        <v>71</v>
      </c>
      <c r="U15" s="9"/>
      <c r="V15" s="9" t="s">
        <v>47</v>
      </c>
      <c r="W15" s="12" t="s">
        <v>84</v>
      </c>
      <c r="X15" s="9"/>
    </row>
    <row r="16" customFormat="false" ht="15" hidden="false" customHeight="false" outlineLevel="0" collapsed="false">
      <c r="A16" s="9" t="s">
        <v>85</v>
      </c>
      <c r="B16" s="9" t="s">
        <v>50</v>
      </c>
      <c r="C16" s="11"/>
      <c r="D16" s="11"/>
      <c r="E16" s="10" t="s">
        <v>41</v>
      </c>
      <c r="F16" s="10" t="s">
        <v>41</v>
      </c>
      <c r="G16" s="11"/>
      <c r="H16" s="11"/>
      <c r="I16" s="10" t="s">
        <v>41</v>
      </c>
      <c r="J16" s="11"/>
      <c r="K16" s="10" t="s">
        <v>41</v>
      </c>
      <c r="L16" s="11"/>
      <c r="M16" s="11"/>
      <c r="N16" s="10" t="s">
        <v>41</v>
      </c>
      <c r="O16" s="11"/>
      <c r="P16" s="12" t="s">
        <v>64</v>
      </c>
      <c r="Q16" s="9" t="s">
        <v>43</v>
      </c>
      <c r="R16" s="9" t="s">
        <v>44</v>
      </c>
      <c r="S16" s="9" t="s">
        <v>45</v>
      </c>
      <c r="T16" s="9" t="s">
        <v>86</v>
      </c>
      <c r="U16" s="9" t="s">
        <v>86</v>
      </c>
      <c r="V16" s="9" t="s">
        <v>55</v>
      </c>
      <c r="W16" s="12"/>
      <c r="X16" s="9"/>
    </row>
    <row r="17" customFormat="false" ht="15" hidden="false" customHeight="false" outlineLevel="0" collapsed="false">
      <c r="A17" s="9" t="s">
        <v>87</v>
      </c>
      <c r="B17" s="9" t="s">
        <v>50</v>
      </c>
      <c r="C17" s="10" t="s">
        <v>41</v>
      </c>
      <c r="D17" s="11"/>
      <c r="E17" s="10" t="s">
        <v>41</v>
      </c>
      <c r="F17" s="11"/>
      <c r="G17" s="10" t="s">
        <v>41</v>
      </c>
      <c r="H17" s="11"/>
      <c r="I17" s="11"/>
      <c r="J17" s="11"/>
      <c r="K17" s="11"/>
      <c r="L17" s="11"/>
      <c r="M17" s="11"/>
      <c r="N17" s="11"/>
      <c r="O17" s="11"/>
      <c r="P17" s="12" t="s">
        <v>88</v>
      </c>
      <c r="Q17" s="9" t="s">
        <v>51</v>
      </c>
      <c r="R17" s="9" t="s">
        <v>52</v>
      </c>
      <c r="S17" s="9" t="s">
        <v>45</v>
      </c>
      <c r="T17" s="9" t="s">
        <v>89</v>
      </c>
      <c r="U17" s="9" t="s">
        <v>89</v>
      </c>
      <c r="V17" s="9" t="s">
        <v>47</v>
      </c>
      <c r="W17" s="12"/>
      <c r="X17" s="9"/>
    </row>
    <row r="18" customFormat="false" ht="15" hidden="false" customHeight="false" outlineLevel="0" collapsed="false">
      <c r="A18" s="9" t="s">
        <v>90</v>
      </c>
      <c r="B18" s="9" t="s">
        <v>91</v>
      </c>
      <c r="C18" s="11"/>
      <c r="D18" s="10" t="s">
        <v>41</v>
      </c>
      <c r="E18" s="10" t="s">
        <v>41</v>
      </c>
      <c r="F18" s="11"/>
      <c r="G18" s="10" t="s">
        <v>41</v>
      </c>
      <c r="H18" s="11"/>
      <c r="I18" s="11"/>
      <c r="J18" s="11"/>
      <c r="K18" s="10" t="s">
        <v>41</v>
      </c>
      <c r="L18" s="11"/>
      <c r="M18" s="11"/>
      <c r="N18" s="11"/>
      <c r="O18" s="10" t="s">
        <v>41</v>
      </c>
      <c r="P18" s="12" t="s">
        <v>92</v>
      </c>
      <c r="Q18" s="9" t="s">
        <v>69</v>
      </c>
      <c r="R18" s="9" t="s">
        <v>52</v>
      </c>
      <c r="S18" s="9" t="s">
        <v>45</v>
      </c>
      <c r="T18" s="9" t="s">
        <v>93</v>
      </c>
      <c r="U18" s="9" t="s">
        <v>93</v>
      </c>
      <c r="V18" s="9" t="s">
        <v>55</v>
      </c>
      <c r="W18" s="12" t="s">
        <v>94</v>
      </c>
      <c r="X18" s="9"/>
    </row>
    <row r="19" customFormat="false" ht="15" hidden="false" customHeight="false" outlineLevel="0" collapsed="false">
      <c r="A19" s="9" t="s">
        <v>95</v>
      </c>
      <c r="B19" s="9" t="s">
        <v>50</v>
      </c>
      <c r="C19" s="11"/>
      <c r="D19" s="10" t="s">
        <v>41</v>
      </c>
      <c r="E19" s="11"/>
      <c r="F19" s="10" t="s">
        <v>41</v>
      </c>
      <c r="G19" s="11"/>
      <c r="H19" s="10" t="s">
        <v>41</v>
      </c>
      <c r="I19" s="11"/>
      <c r="J19" s="11"/>
      <c r="K19" s="11"/>
      <c r="L19" s="11"/>
      <c r="M19" s="11"/>
      <c r="N19" s="11"/>
      <c r="O19" s="10" t="s">
        <v>41</v>
      </c>
      <c r="P19" s="12" t="s">
        <v>29</v>
      </c>
      <c r="Q19" s="9" t="s">
        <v>69</v>
      </c>
      <c r="R19" s="9" t="s">
        <v>44</v>
      </c>
      <c r="S19" s="9" t="s">
        <v>45</v>
      </c>
      <c r="T19" s="9" t="s">
        <v>93</v>
      </c>
      <c r="U19" s="9" t="s">
        <v>93</v>
      </c>
      <c r="V19" s="9" t="s">
        <v>59</v>
      </c>
      <c r="W19" s="12"/>
      <c r="X19" s="9"/>
    </row>
    <row r="20" customFormat="false" ht="22.35" hidden="false" customHeight="false" outlineLevel="0" collapsed="false">
      <c r="A20" s="9" t="s">
        <v>96</v>
      </c>
      <c r="B20" s="9" t="s">
        <v>50</v>
      </c>
      <c r="C20" s="11"/>
      <c r="D20" s="10" t="s">
        <v>41</v>
      </c>
      <c r="E20" s="10" t="s">
        <v>41</v>
      </c>
      <c r="F20" s="11"/>
      <c r="G20" s="10" t="s">
        <v>41</v>
      </c>
      <c r="H20" s="11"/>
      <c r="I20" s="11"/>
      <c r="J20" s="11"/>
      <c r="K20" s="11"/>
      <c r="L20" s="11"/>
      <c r="M20" s="11"/>
      <c r="N20" s="11"/>
      <c r="O20" s="10" t="s">
        <v>41</v>
      </c>
      <c r="P20" s="12" t="s">
        <v>29</v>
      </c>
      <c r="Q20" s="9" t="s">
        <v>69</v>
      </c>
      <c r="R20" s="9" t="s">
        <v>44</v>
      </c>
      <c r="S20" s="9" t="s">
        <v>45</v>
      </c>
      <c r="T20" s="9" t="s">
        <v>97</v>
      </c>
      <c r="U20" s="9" t="s">
        <v>97</v>
      </c>
      <c r="V20" s="9" t="s">
        <v>55</v>
      </c>
      <c r="W20" s="12" t="s">
        <v>98</v>
      </c>
      <c r="X20" s="9"/>
    </row>
    <row r="21" customFormat="false" ht="15" hidden="false" customHeight="false" outlineLevel="0" collapsed="false">
      <c r="A21" s="9" t="s">
        <v>99</v>
      </c>
      <c r="B21" s="9" t="s">
        <v>50</v>
      </c>
      <c r="C21" s="11"/>
      <c r="D21" s="10" t="s">
        <v>41</v>
      </c>
      <c r="E21" s="10" t="s">
        <v>41</v>
      </c>
      <c r="F21" s="11"/>
      <c r="G21" s="10" t="s">
        <v>41</v>
      </c>
      <c r="H21" s="11"/>
      <c r="I21" s="11"/>
      <c r="J21" s="11"/>
      <c r="K21" s="11"/>
      <c r="L21" s="11"/>
      <c r="M21" s="11"/>
      <c r="N21" s="11"/>
      <c r="O21" s="10" t="s">
        <v>41</v>
      </c>
      <c r="P21" s="12" t="s">
        <v>29</v>
      </c>
      <c r="Q21" s="9" t="s">
        <v>69</v>
      </c>
      <c r="R21" s="9" t="s">
        <v>100</v>
      </c>
      <c r="S21" s="9" t="s">
        <v>70</v>
      </c>
      <c r="T21" s="9" t="s">
        <v>71</v>
      </c>
      <c r="U21" s="9"/>
      <c r="V21" s="9" t="s">
        <v>47</v>
      </c>
      <c r="W21" s="12" t="s">
        <v>101</v>
      </c>
      <c r="X21" s="9"/>
    </row>
    <row r="22" customFormat="false" ht="22.35" hidden="false" customHeight="false" outlineLevel="0" collapsed="false">
      <c r="A22" s="9" t="s">
        <v>102</v>
      </c>
      <c r="B22" s="9" t="s">
        <v>50</v>
      </c>
      <c r="C22" s="11"/>
      <c r="D22" s="10" t="s">
        <v>41</v>
      </c>
      <c r="E22" s="10" t="s">
        <v>41</v>
      </c>
      <c r="F22" s="11"/>
      <c r="G22" s="11"/>
      <c r="H22" s="11"/>
      <c r="I22" s="10" t="s">
        <v>41</v>
      </c>
      <c r="J22" s="11"/>
      <c r="K22" s="10" t="s">
        <v>41</v>
      </c>
      <c r="L22" s="11"/>
      <c r="M22" s="10" t="s">
        <v>41</v>
      </c>
      <c r="N22" s="11"/>
      <c r="O22" s="11"/>
      <c r="P22" s="12" t="s">
        <v>103</v>
      </c>
      <c r="Q22" s="9" t="s">
        <v>51</v>
      </c>
      <c r="R22" s="9" t="s">
        <v>44</v>
      </c>
      <c r="S22" s="9" t="s">
        <v>70</v>
      </c>
      <c r="T22" s="9" t="s">
        <v>71</v>
      </c>
      <c r="U22" s="9"/>
      <c r="V22" s="9" t="s">
        <v>55</v>
      </c>
      <c r="W22" s="12" t="s">
        <v>104</v>
      </c>
      <c r="X22" s="9"/>
    </row>
    <row r="23" customFormat="false" ht="22.35" hidden="false" customHeight="false" outlineLevel="0" collapsed="false">
      <c r="A23" s="9" t="s">
        <v>105</v>
      </c>
      <c r="B23" s="9" t="s">
        <v>91</v>
      </c>
      <c r="C23" s="10" t="s">
        <v>41</v>
      </c>
      <c r="D23" s="11"/>
      <c r="E23" s="10" t="s">
        <v>41</v>
      </c>
      <c r="F23" s="11"/>
      <c r="G23" s="11"/>
      <c r="H23" s="11"/>
      <c r="I23" s="11"/>
      <c r="J23" s="11"/>
      <c r="K23" s="11"/>
      <c r="L23" s="10" t="s">
        <v>41</v>
      </c>
      <c r="M23" s="10" t="s">
        <v>41</v>
      </c>
      <c r="N23" s="11"/>
      <c r="O23" s="11"/>
      <c r="P23" s="12" t="s">
        <v>76</v>
      </c>
      <c r="Q23" s="9" t="s">
        <v>43</v>
      </c>
      <c r="R23" s="9" t="s">
        <v>100</v>
      </c>
      <c r="S23" s="9" t="s">
        <v>70</v>
      </c>
      <c r="T23" s="9" t="s">
        <v>46</v>
      </c>
      <c r="U23" s="9" t="s">
        <v>46</v>
      </c>
      <c r="V23" s="9" t="s">
        <v>55</v>
      </c>
      <c r="W23" s="12" t="s">
        <v>106</v>
      </c>
      <c r="X23" s="9"/>
    </row>
    <row r="24" customFormat="false" ht="15" hidden="false" customHeight="false" outlineLevel="0" collapsed="false">
      <c r="A24" s="9" t="s">
        <v>107</v>
      </c>
      <c r="B24" s="9" t="s">
        <v>50</v>
      </c>
      <c r="C24" s="11"/>
      <c r="D24" s="11"/>
      <c r="E24" s="10" t="s">
        <v>41</v>
      </c>
      <c r="F24" s="10" t="s">
        <v>41</v>
      </c>
      <c r="G24" s="11"/>
      <c r="H24" s="11"/>
      <c r="I24" s="10" t="s">
        <v>41</v>
      </c>
      <c r="J24" s="11"/>
      <c r="K24" s="10" t="s">
        <v>41</v>
      </c>
      <c r="L24" s="11"/>
      <c r="M24" s="11"/>
      <c r="N24" s="11"/>
      <c r="O24" s="11"/>
      <c r="P24" s="12" t="s">
        <v>108</v>
      </c>
      <c r="Q24" s="9" t="s">
        <v>43</v>
      </c>
      <c r="R24" s="9" t="s">
        <v>52</v>
      </c>
      <c r="S24" s="9" t="s">
        <v>70</v>
      </c>
      <c r="T24" s="9" t="s">
        <v>71</v>
      </c>
      <c r="U24" s="9"/>
      <c r="V24" s="9" t="s">
        <v>55</v>
      </c>
      <c r="W24" s="12" t="s">
        <v>109</v>
      </c>
      <c r="X24" s="9"/>
    </row>
    <row r="25" customFormat="false" ht="53.7" hidden="false" customHeight="false" outlineLevel="0" collapsed="false">
      <c r="A25" s="9" t="s">
        <v>110</v>
      </c>
      <c r="B25" s="9" t="s">
        <v>50</v>
      </c>
      <c r="C25" s="10" t="s">
        <v>41</v>
      </c>
      <c r="D25" s="11"/>
      <c r="E25" s="10" t="s">
        <v>41</v>
      </c>
      <c r="F25" s="11"/>
      <c r="G25" s="11"/>
      <c r="H25" s="11"/>
      <c r="I25" s="11"/>
      <c r="J25" s="10" t="s">
        <v>41</v>
      </c>
      <c r="K25" s="11"/>
      <c r="L25" s="10" t="s">
        <v>41</v>
      </c>
      <c r="M25" s="11"/>
      <c r="N25" s="11"/>
      <c r="O25" s="10" t="s">
        <v>41</v>
      </c>
      <c r="P25" s="12" t="s">
        <v>111</v>
      </c>
      <c r="Q25" s="9" t="s">
        <v>43</v>
      </c>
      <c r="R25" s="9" t="s">
        <v>52</v>
      </c>
      <c r="S25" s="9" t="s">
        <v>45</v>
      </c>
      <c r="T25" s="9" t="s">
        <v>79</v>
      </c>
      <c r="U25" s="9" t="s">
        <v>79</v>
      </c>
      <c r="V25" s="9" t="s">
        <v>55</v>
      </c>
      <c r="W25" s="12" t="s">
        <v>112</v>
      </c>
      <c r="X25" s="9"/>
    </row>
    <row r="26" customFormat="false" ht="15" hidden="false" customHeight="false" outlineLevel="0" collapsed="false">
      <c r="A26" s="13" t="s">
        <v>113</v>
      </c>
      <c r="B26" s="13" t="s">
        <v>114</v>
      </c>
      <c r="C26" s="14" t="s">
        <v>41</v>
      </c>
      <c r="D26" s="14"/>
      <c r="E26" s="14" t="s">
        <v>41</v>
      </c>
      <c r="F26" s="14"/>
      <c r="G26" s="14"/>
      <c r="H26" s="14"/>
      <c r="I26" s="14"/>
      <c r="J26" s="14"/>
      <c r="K26" s="14" t="s">
        <v>41</v>
      </c>
      <c r="L26" s="14"/>
      <c r="M26" s="14"/>
      <c r="N26" s="14"/>
      <c r="O26" s="14"/>
      <c r="P26" s="15" t="s">
        <v>108</v>
      </c>
      <c r="Q26" s="13" t="s">
        <v>43</v>
      </c>
      <c r="R26" s="13"/>
      <c r="S26" s="13" t="s">
        <v>45</v>
      </c>
      <c r="T26" s="13" t="s">
        <v>115</v>
      </c>
      <c r="U26" s="13" t="s">
        <v>116</v>
      </c>
      <c r="V26" s="13" t="s">
        <v>116</v>
      </c>
      <c r="W26" s="15" t="s">
        <v>117</v>
      </c>
      <c r="X26" s="13" t="s">
        <v>118</v>
      </c>
    </row>
    <row r="27" customFormat="false" ht="15" hidden="false" customHeight="false" outlineLevel="0" collapsed="false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customFormat="false" ht="15" hidden="false" customHeight="false" outlineLevel="0" collapsed="false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customFormat="false" ht="15" hidden="false" customHeight="false" outlineLevel="0" collapsed="false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customFormat="false" ht="15" hidden="false" customHeight="false" outlineLevel="0" collapsed="false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customFormat="false" ht="15" hidden="false" customHeight="false" outlineLevel="0" collapsed="false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customFormat="false" ht="15" hidden="false" customHeight="false" outlineLevel="0" collapsed="false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customFormat="false" ht="15" hidden="false" customHeight="false" outlineLevel="0" collapsed="false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customFormat="false" ht="15" hidden="false" customHeight="false" outlineLevel="0" collapsed="false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customFormat="false" ht="15" hidden="false" customHeight="false" outlineLevel="0" collapsed="false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customFormat="false" ht="15" hidden="false" customHeight="false" outlineLevel="0" collapsed="false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customFormat="false" ht="15" hidden="false" customHeight="false" outlineLevel="0" collapsed="false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customFormat="false" ht="15" hidden="false" customHeight="false" outlineLevel="0" collapsed="false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customFormat="false" ht="15" hidden="false" customHeight="false" outlineLevel="0" collapsed="false">
      <c r="A39" s="16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customFormat="false" ht="15" hidden="false" customHeight="false" outlineLevel="0" collapsed="false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customFormat="false" ht="15" hidden="false" customHeight="false" outlineLevel="0" collapsed="false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</sheetData>
  <autoFilter ref="A4:X41"/>
  <dataValidations count="1">
    <dataValidation allowBlank="true" errorStyle="stop" operator="between" showDropDown="false" showErrorMessage="false" showInputMessage="false" sqref="B5:B41" type="list">
      <formula1>"In,Maybe,Declined,Host,Ad-hoc"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6"/>
  </cols>
  <sheetData>
    <row r="1" customFormat="false" ht="19.7" hidden="false" customHeight="false" outlineLevel="0" collapsed="false">
      <c r="A1" s="6" t="s">
        <v>119</v>
      </c>
    </row>
    <row r="2" customFormat="false" ht="15" hidden="false" customHeight="false" outlineLevel="0" collapsed="false">
      <c r="A2" s="18" t="s">
        <v>120</v>
      </c>
    </row>
    <row r="3" customFormat="false" ht="15" hidden="false" customHeight="false" outlineLevel="0" collapsed="false">
      <c r="A3" s="4" t="s">
        <v>121</v>
      </c>
      <c r="B3" s="19" t="s">
        <v>122</v>
      </c>
    </row>
    <row r="5" customFormat="false" ht="15" hidden="false" customHeight="false" outlineLevel="0" collapsed="false">
      <c r="A5" s="8" t="s">
        <v>123</v>
      </c>
      <c r="B5" s="8" t="s">
        <v>124</v>
      </c>
      <c r="C5" s="8" t="s">
        <v>125</v>
      </c>
      <c r="D5" s="8" t="s">
        <v>16</v>
      </c>
      <c r="E5" s="8" t="s">
        <v>31</v>
      </c>
      <c r="F5" s="8" t="s">
        <v>126</v>
      </c>
      <c r="G5" s="8" t="s">
        <v>34</v>
      </c>
      <c r="H5" s="8" t="s">
        <v>127</v>
      </c>
      <c r="I5" s="8" t="s">
        <v>38</v>
      </c>
    </row>
    <row r="6" customFormat="false" ht="22.35" hidden="false" customHeight="false" outlineLevel="0" collapsed="false">
      <c r="A6" s="20" t="n">
        <v>1</v>
      </c>
      <c r="B6" s="21" t="s">
        <v>90</v>
      </c>
      <c r="C6" s="22" t="s">
        <v>128</v>
      </c>
      <c r="D6" s="17" t="str">
        <f aca="false">IFERROR(INDEX(Mentors!$B:$B,MATCH($B6,Mentors!$A:$A,0)),"")</f>
        <v>Maybe</v>
      </c>
      <c r="E6" s="11" t="str">
        <f aca="false">IFERROR(INDEX(Mentors!$Q:$Q,MATCH($B6,Mentors!$A:$A,0)),"")</f>
        <v>Two</v>
      </c>
      <c r="F6" s="22" t="str">
        <f aca="false">IFERROR(INDEX(Mentors!$P:$P,MATCH($B6,Mentors!$A:$A,0)),"")</f>
        <v>AI/ML &amp; Data, Cross-sector</v>
      </c>
      <c r="G6" s="17" t="str">
        <f aca="false">IFERROR(INDEX(Mentors!$T:$T,MATCH($B6,Mentors!$A:$A,0)),"")</f>
        <v>USA</v>
      </c>
      <c r="H6" s="23"/>
      <c r="I6" s="23"/>
    </row>
    <row r="7" customFormat="false" ht="15" hidden="false" customHeight="false" outlineLevel="0" collapsed="false">
      <c r="A7" s="20" t="n">
        <v>2</v>
      </c>
      <c r="B7" s="21" t="s">
        <v>99</v>
      </c>
      <c r="C7" s="22" t="s">
        <v>129</v>
      </c>
      <c r="D7" s="17" t="str">
        <f aca="false">IFERROR(INDEX(Mentors!$B:$B,MATCH($B7,Mentors!$A:$A,0)),"")</f>
        <v>In</v>
      </c>
      <c r="E7" s="11" t="str">
        <f aca="false">IFERROR(INDEX(Mentors!$Q:$Q,MATCH($B7,Mentors!$A:$A,0)),"")</f>
        <v>Two</v>
      </c>
      <c r="F7" s="22" t="str">
        <f aca="false">IFERROR(INDEX(Mentors!$P:$P,MATCH($B7,Mentors!$A:$A,0)),"")</f>
        <v>Cross-sector</v>
      </c>
      <c r="G7" s="17" t="str">
        <f aca="false">IFERROR(INDEX(Mentors!$T:$T,MATCH($B7,Mentors!$A:$A,0)),"")</f>
        <v>Finland</v>
      </c>
      <c r="H7" s="23"/>
      <c r="I7" s="23"/>
    </row>
    <row r="8" customFormat="false" ht="15" hidden="false" customHeight="false" outlineLevel="0" collapsed="false">
      <c r="A8" s="20" t="n">
        <v>3</v>
      </c>
      <c r="B8" s="21" t="s">
        <v>49</v>
      </c>
      <c r="C8" s="22" t="s">
        <v>130</v>
      </c>
      <c r="D8" s="17" t="str">
        <f aca="false">IFERROR(INDEX(Mentors!$B:$B,MATCH($B8,Mentors!$A:$A,0)),"")</f>
        <v>In</v>
      </c>
      <c r="E8" s="11" t="str">
        <f aca="false">IFERROR(INDEX(Mentors!$Q:$Q,MATCH($B8,Mentors!$A:$A,0)),"")</f>
        <v>More</v>
      </c>
      <c r="F8" s="22" t="str">
        <f aca="false">IFERROR(INDEX(Mentors!$P:$P,MATCH($B8,Mentors!$A:$A,0)),"")</f>
        <v>Cross-sector</v>
      </c>
      <c r="G8" s="17" t="str">
        <f aca="false">IFERROR(INDEX(Mentors!$T:$T,MATCH($B8,Mentors!$A:$A,0)),"")</f>
        <v>Belgium</v>
      </c>
      <c r="H8" s="23"/>
      <c r="I8" s="23"/>
    </row>
    <row r="10" customFormat="false" ht="15" hidden="false" customHeight="false" outlineLevel="0" collapsed="false">
      <c r="A10" s="4" t="s">
        <v>131</v>
      </c>
      <c r="B10" s="24" t="s">
        <v>132</v>
      </c>
    </row>
    <row r="11" customFormat="false" ht="15" hidden="false" customHeight="false" outlineLevel="0" collapsed="false">
      <c r="A11" s="25" t="s">
        <v>116</v>
      </c>
      <c r="B11" s="26" t="s">
        <v>113</v>
      </c>
      <c r="C11" s="27" t="s">
        <v>133</v>
      </c>
      <c r="D11" s="28" t="str">
        <f aca="false">IFERROR(INDEX(Mentors!$B:$B,MATCH($B11,Mentors!$A:$A,0)),"")</f>
        <v>Ad-hoc</v>
      </c>
      <c r="E11" s="28" t="str">
        <f aca="false">IFERROR(INDEX(Mentors!$Q:$Q,MATCH($B11,Mentors!$A:$A,0)),"")</f>
        <v>One</v>
      </c>
      <c r="F11" s="28" t="str">
        <f aca="false">IFERROR(INDEX(Mentors!$P:$P,MATCH($B11,Mentors!$A:$A,0)),"")</f>
        <v>AI/ML &amp; Data</v>
      </c>
      <c r="G11" s="28" t="str">
        <f aca="false">IFERROR(INDEX(Mentors!$T:$T,MATCH($B11,Mentors!$A:$A,0)),"")</f>
        <v>Abroad</v>
      </c>
      <c r="H11" s="29"/>
      <c r="I11" s="29"/>
    </row>
    <row r="12" customFormat="false" ht="15" hidden="false" customHeight="false" outlineLevel="0" collapsed="false">
      <c r="A12" s="29"/>
      <c r="B12" s="23"/>
      <c r="C12" s="23"/>
      <c r="D12" s="17" t="str">
        <f aca="false">IFERROR(INDEX(Mentors!$B:$B,MATCH($B12,Mentors!$A:$A,0)),"")</f>
        <v/>
      </c>
      <c r="E12" s="11" t="str">
        <f aca="false">IFERROR(INDEX(Mentors!$Q:$Q,MATCH($B12,Mentors!$A:$A,0)),"")</f>
        <v/>
      </c>
      <c r="F12" s="22" t="str">
        <f aca="false">IFERROR(INDEX(Mentors!$P:$P,MATCH($B12,Mentors!$A:$A,0)),"")</f>
        <v/>
      </c>
      <c r="G12" s="17" t="str">
        <f aca="false">IFERROR(INDEX(Mentors!$T:$T,MATCH($B12,Mentors!$A:$A,0)),"")</f>
        <v/>
      </c>
      <c r="H12" s="23"/>
      <c r="I12" s="23"/>
    </row>
    <row r="13" customFormat="false" ht="15" hidden="false" customHeight="false" outlineLevel="0" collapsed="false">
      <c r="A13" s="29"/>
      <c r="B13" s="23"/>
      <c r="C13" s="23"/>
      <c r="D13" s="17" t="str">
        <f aca="false">IFERROR(INDEX(Mentors!$B:$B,MATCH($B13,Mentors!$A:$A,0)),"")</f>
        <v/>
      </c>
      <c r="E13" s="11" t="str">
        <f aca="false">IFERROR(INDEX(Mentors!$Q:$Q,MATCH($B13,Mentors!$A:$A,0)),"")</f>
        <v/>
      </c>
      <c r="F13" s="22" t="str">
        <f aca="false">IFERROR(INDEX(Mentors!$P:$P,MATCH($B13,Mentors!$A:$A,0)),"")</f>
        <v/>
      </c>
      <c r="G13" s="17" t="str">
        <f aca="false">IFERROR(INDEX(Mentors!$T:$T,MATCH($B13,Mentors!$A:$A,0)),"")</f>
        <v/>
      </c>
      <c r="H13" s="23"/>
      <c r="I13" s="23"/>
    </row>
    <row r="14" customFormat="false" ht="15" hidden="false" customHeight="false" outlineLevel="0" collapsed="false">
      <c r="A14" s="29"/>
      <c r="B14" s="23"/>
      <c r="C14" s="23"/>
      <c r="D14" s="17" t="str">
        <f aca="false">IFERROR(INDEX(Mentors!$B:$B,MATCH($B14,Mentors!$A:$A,0)),"")</f>
        <v/>
      </c>
      <c r="E14" s="11" t="str">
        <f aca="false">IFERROR(INDEX(Mentors!$Q:$Q,MATCH($B14,Mentors!$A:$A,0)),"")</f>
        <v/>
      </c>
      <c r="F14" s="22" t="str">
        <f aca="false">IFERROR(INDEX(Mentors!$P:$P,MATCH($B14,Mentors!$A:$A,0)),"")</f>
        <v/>
      </c>
      <c r="G14" s="17" t="str">
        <f aca="false">IFERROR(INDEX(Mentors!$T:$T,MATCH($B14,Mentors!$A:$A,0)),"")</f>
        <v/>
      </c>
      <c r="H14" s="23"/>
      <c r="I14" s="23"/>
    </row>
    <row r="15" customFormat="false" ht="15" hidden="false" customHeight="false" outlineLevel="0" collapsed="false">
      <c r="A15" s="29"/>
      <c r="B15" s="23"/>
      <c r="C15" s="23"/>
      <c r="D15" s="17" t="str">
        <f aca="false">IFERROR(INDEX(Mentors!$B:$B,MATCH($B15,Mentors!$A:$A,0)),"")</f>
        <v/>
      </c>
      <c r="E15" s="11" t="str">
        <f aca="false">IFERROR(INDEX(Mentors!$Q:$Q,MATCH($B15,Mentors!$A:$A,0)),"")</f>
        <v/>
      </c>
      <c r="F15" s="22" t="str">
        <f aca="false">IFERROR(INDEX(Mentors!$P:$P,MATCH($B15,Mentors!$A:$A,0)),"")</f>
        <v/>
      </c>
      <c r="G15" s="17" t="str">
        <f aca="false">IFERROR(INDEX(Mentors!$T:$T,MATCH($B15,Mentors!$A:$A,0)),"")</f>
        <v/>
      </c>
      <c r="H15" s="23"/>
      <c r="I15" s="23"/>
    </row>
    <row r="16" customFormat="false" ht="15" hidden="false" customHeight="false" outlineLevel="0" collapsed="false">
      <c r="A16" s="29"/>
      <c r="B16" s="23"/>
      <c r="C16" s="23"/>
      <c r="D16" s="17" t="str">
        <f aca="false">IFERROR(INDEX(Mentors!$B:$B,MATCH($B16,Mentors!$A:$A,0)),"")</f>
        <v/>
      </c>
      <c r="E16" s="11" t="str">
        <f aca="false">IFERROR(INDEX(Mentors!$Q:$Q,MATCH($B16,Mentors!$A:$A,0)),"")</f>
        <v/>
      </c>
      <c r="F16" s="22" t="str">
        <f aca="false">IFERROR(INDEX(Mentors!$P:$P,MATCH($B16,Mentors!$A:$A,0)),"")</f>
        <v/>
      </c>
      <c r="G16" s="17" t="str">
        <f aca="false">IFERROR(INDEX(Mentors!$T:$T,MATCH($B16,Mentors!$A:$A,0)),"")</f>
        <v/>
      </c>
      <c r="H16" s="23"/>
      <c r="I16" s="23"/>
    </row>
  </sheetData>
  <dataValidations count="1">
    <dataValidation allowBlank="true" errorStyle="stop" operator="between" showDropDown="false" showErrorMessage="false" showInputMessage="false" sqref="H6:H16" type="list">
      <formula1>"Assigned,Backup,No"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6"/>
  </cols>
  <sheetData>
    <row r="1" customFormat="false" ht="19.7" hidden="false" customHeight="false" outlineLevel="0" collapsed="false">
      <c r="A1" s="6" t="s">
        <v>134</v>
      </c>
    </row>
    <row r="2" customFormat="false" ht="15" hidden="false" customHeight="false" outlineLevel="0" collapsed="false">
      <c r="A2" s="18" t="s">
        <v>135</v>
      </c>
    </row>
    <row r="3" customFormat="false" ht="15" hidden="false" customHeight="false" outlineLevel="0" collapsed="false">
      <c r="A3" s="4" t="s">
        <v>121</v>
      </c>
      <c r="B3" s="19" t="s">
        <v>136</v>
      </c>
    </row>
    <row r="5" customFormat="false" ht="15" hidden="false" customHeight="false" outlineLevel="0" collapsed="false">
      <c r="A5" s="8" t="s">
        <v>123</v>
      </c>
      <c r="B5" s="8" t="s">
        <v>124</v>
      </c>
      <c r="C5" s="8" t="s">
        <v>125</v>
      </c>
      <c r="D5" s="8" t="s">
        <v>16</v>
      </c>
      <c r="E5" s="8" t="s">
        <v>31</v>
      </c>
      <c r="F5" s="8" t="s">
        <v>126</v>
      </c>
      <c r="G5" s="8" t="s">
        <v>34</v>
      </c>
      <c r="H5" s="8" t="s">
        <v>127</v>
      </c>
      <c r="I5" s="8" t="s">
        <v>38</v>
      </c>
    </row>
    <row r="6" customFormat="false" ht="22.35" hidden="false" customHeight="false" outlineLevel="0" collapsed="false">
      <c r="A6" s="20" t="n">
        <v>1</v>
      </c>
      <c r="B6" s="21" t="s">
        <v>90</v>
      </c>
      <c r="C6" s="22" t="s">
        <v>128</v>
      </c>
      <c r="D6" s="17" t="str">
        <f aca="false">IFERROR(INDEX(Mentors!$B:$B,MATCH($B6,Mentors!$A:$A,0)),"")</f>
        <v>Maybe</v>
      </c>
      <c r="E6" s="11" t="str">
        <f aca="false">IFERROR(INDEX(Mentors!$Q:$Q,MATCH($B6,Mentors!$A:$A,0)),"")</f>
        <v>Two</v>
      </c>
      <c r="F6" s="22" t="str">
        <f aca="false">IFERROR(INDEX(Mentors!$P:$P,MATCH($B6,Mentors!$A:$A,0)),"")</f>
        <v>AI/ML &amp; Data, Cross-sector</v>
      </c>
      <c r="G6" s="17" t="str">
        <f aca="false">IFERROR(INDEX(Mentors!$T:$T,MATCH($B6,Mentors!$A:$A,0)),"")</f>
        <v>USA</v>
      </c>
      <c r="H6" s="23"/>
      <c r="I6" s="23"/>
    </row>
    <row r="7" customFormat="false" ht="22.35" hidden="false" customHeight="false" outlineLevel="0" collapsed="false">
      <c r="A7" s="20" t="n">
        <v>2</v>
      </c>
      <c r="B7" s="21" t="s">
        <v>63</v>
      </c>
      <c r="C7" s="22" t="s">
        <v>137</v>
      </c>
      <c r="D7" s="17" t="str">
        <f aca="false">IFERROR(INDEX(Mentors!$B:$B,MATCH($B7,Mentors!$A:$A,0)),"")</f>
        <v>In</v>
      </c>
      <c r="E7" s="11" t="str">
        <f aca="false">IFERROR(INDEX(Mentors!$Q:$Q,MATCH($B7,Mentors!$A:$A,0)),"")</f>
        <v>One</v>
      </c>
      <c r="F7" s="22" t="str">
        <f aca="false">IFERROR(INDEX(Mentors!$P:$P,MATCH($B7,Mentors!$A:$A,0)),"")</f>
        <v>AI/ML &amp; Data, Software / Cloud / Telecom</v>
      </c>
      <c r="G7" s="17" t="str">
        <f aca="false">IFERROR(INDEX(Mentors!$T:$T,MATCH($B7,Mentors!$A:$A,0)),"")</f>
        <v>Usa</v>
      </c>
      <c r="H7" s="23"/>
      <c r="I7" s="23"/>
    </row>
    <row r="8" customFormat="false" ht="15" hidden="false" customHeight="false" outlineLevel="0" collapsed="false">
      <c r="A8" s="20" t="n">
        <v>3</v>
      </c>
      <c r="B8" s="21" t="s">
        <v>99</v>
      </c>
      <c r="C8" s="22" t="s">
        <v>129</v>
      </c>
      <c r="D8" s="17" t="str">
        <f aca="false">IFERROR(INDEX(Mentors!$B:$B,MATCH($B8,Mentors!$A:$A,0)),"")</f>
        <v>In</v>
      </c>
      <c r="E8" s="11" t="str">
        <f aca="false">IFERROR(INDEX(Mentors!$Q:$Q,MATCH($B8,Mentors!$A:$A,0)),"")</f>
        <v>Two</v>
      </c>
      <c r="F8" s="22" t="str">
        <f aca="false">IFERROR(INDEX(Mentors!$P:$P,MATCH($B8,Mentors!$A:$A,0)),"")</f>
        <v>Cross-sector</v>
      </c>
      <c r="G8" s="17" t="str">
        <f aca="false">IFERROR(INDEX(Mentors!$T:$T,MATCH($B8,Mentors!$A:$A,0)),"")</f>
        <v>Finland</v>
      </c>
      <c r="H8" s="23"/>
      <c r="I8" s="23"/>
    </row>
    <row r="10" customFormat="false" ht="15" hidden="false" customHeight="false" outlineLevel="0" collapsed="false">
      <c r="A10" s="4" t="s">
        <v>131</v>
      </c>
      <c r="B10" s="24" t="s">
        <v>132</v>
      </c>
    </row>
    <row r="11" customFormat="false" ht="15" hidden="false" customHeight="false" outlineLevel="0" collapsed="false">
      <c r="A11" s="25" t="s">
        <v>116</v>
      </c>
      <c r="B11" s="26" t="s">
        <v>113</v>
      </c>
      <c r="C11" s="27" t="s">
        <v>133</v>
      </c>
      <c r="D11" s="28" t="str">
        <f aca="false">IFERROR(INDEX(Mentors!$B:$B,MATCH($B11,Mentors!$A:$A,0)),"")</f>
        <v>Ad-hoc</v>
      </c>
      <c r="E11" s="28" t="str">
        <f aca="false">IFERROR(INDEX(Mentors!$Q:$Q,MATCH($B11,Mentors!$A:$A,0)),"")</f>
        <v>One</v>
      </c>
      <c r="F11" s="28" t="str">
        <f aca="false">IFERROR(INDEX(Mentors!$P:$P,MATCH($B11,Mentors!$A:$A,0)),"")</f>
        <v>AI/ML &amp; Data</v>
      </c>
      <c r="G11" s="28" t="str">
        <f aca="false">IFERROR(INDEX(Mentors!$T:$T,MATCH($B11,Mentors!$A:$A,0)),"")</f>
        <v>Abroad</v>
      </c>
      <c r="H11" s="29"/>
      <c r="I11" s="29"/>
    </row>
    <row r="12" customFormat="false" ht="15" hidden="false" customHeight="false" outlineLevel="0" collapsed="false">
      <c r="A12" s="29"/>
      <c r="B12" s="23"/>
      <c r="C12" s="23"/>
      <c r="D12" s="17" t="str">
        <f aca="false">IFERROR(INDEX(Mentors!$B:$B,MATCH($B12,Mentors!$A:$A,0)),"")</f>
        <v/>
      </c>
      <c r="E12" s="11" t="str">
        <f aca="false">IFERROR(INDEX(Mentors!$Q:$Q,MATCH($B12,Mentors!$A:$A,0)),"")</f>
        <v/>
      </c>
      <c r="F12" s="22" t="str">
        <f aca="false">IFERROR(INDEX(Mentors!$P:$P,MATCH($B12,Mentors!$A:$A,0)),"")</f>
        <v/>
      </c>
      <c r="G12" s="17" t="str">
        <f aca="false">IFERROR(INDEX(Mentors!$T:$T,MATCH($B12,Mentors!$A:$A,0)),"")</f>
        <v/>
      </c>
      <c r="H12" s="23"/>
      <c r="I12" s="23"/>
    </row>
    <row r="13" customFormat="false" ht="15" hidden="false" customHeight="false" outlineLevel="0" collapsed="false">
      <c r="A13" s="29"/>
      <c r="B13" s="23"/>
      <c r="C13" s="23"/>
      <c r="D13" s="17" t="str">
        <f aca="false">IFERROR(INDEX(Mentors!$B:$B,MATCH($B13,Mentors!$A:$A,0)),"")</f>
        <v/>
      </c>
      <c r="E13" s="11" t="str">
        <f aca="false">IFERROR(INDEX(Mentors!$Q:$Q,MATCH($B13,Mentors!$A:$A,0)),"")</f>
        <v/>
      </c>
      <c r="F13" s="22" t="str">
        <f aca="false">IFERROR(INDEX(Mentors!$P:$P,MATCH($B13,Mentors!$A:$A,0)),"")</f>
        <v/>
      </c>
      <c r="G13" s="17" t="str">
        <f aca="false">IFERROR(INDEX(Mentors!$T:$T,MATCH($B13,Mentors!$A:$A,0)),"")</f>
        <v/>
      </c>
      <c r="H13" s="23"/>
      <c r="I13" s="23"/>
    </row>
    <row r="14" customFormat="false" ht="15" hidden="false" customHeight="false" outlineLevel="0" collapsed="false">
      <c r="A14" s="29"/>
      <c r="B14" s="23"/>
      <c r="C14" s="23"/>
      <c r="D14" s="17" t="str">
        <f aca="false">IFERROR(INDEX(Mentors!$B:$B,MATCH($B14,Mentors!$A:$A,0)),"")</f>
        <v/>
      </c>
      <c r="E14" s="11" t="str">
        <f aca="false">IFERROR(INDEX(Mentors!$Q:$Q,MATCH($B14,Mentors!$A:$A,0)),"")</f>
        <v/>
      </c>
      <c r="F14" s="22" t="str">
        <f aca="false">IFERROR(INDEX(Mentors!$P:$P,MATCH($B14,Mentors!$A:$A,0)),"")</f>
        <v/>
      </c>
      <c r="G14" s="17" t="str">
        <f aca="false">IFERROR(INDEX(Mentors!$T:$T,MATCH($B14,Mentors!$A:$A,0)),"")</f>
        <v/>
      </c>
      <c r="H14" s="23"/>
      <c r="I14" s="23"/>
    </row>
    <row r="15" customFormat="false" ht="15" hidden="false" customHeight="false" outlineLevel="0" collapsed="false">
      <c r="A15" s="29"/>
      <c r="B15" s="23"/>
      <c r="C15" s="23"/>
      <c r="D15" s="17" t="str">
        <f aca="false">IFERROR(INDEX(Mentors!$B:$B,MATCH($B15,Mentors!$A:$A,0)),"")</f>
        <v/>
      </c>
      <c r="E15" s="11" t="str">
        <f aca="false">IFERROR(INDEX(Mentors!$Q:$Q,MATCH($B15,Mentors!$A:$A,0)),"")</f>
        <v/>
      </c>
      <c r="F15" s="22" t="str">
        <f aca="false">IFERROR(INDEX(Mentors!$P:$P,MATCH($B15,Mentors!$A:$A,0)),"")</f>
        <v/>
      </c>
      <c r="G15" s="17" t="str">
        <f aca="false">IFERROR(INDEX(Mentors!$T:$T,MATCH($B15,Mentors!$A:$A,0)),"")</f>
        <v/>
      </c>
      <c r="H15" s="23"/>
      <c r="I15" s="23"/>
    </row>
    <row r="16" customFormat="false" ht="15" hidden="false" customHeight="false" outlineLevel="0" collapsed="false">
      <c r="A16" s="29"/>
      <c r="B16" s="23"/>
      <c r="C16" s="23"/>
      <c r="D16" s="17" t="str">
        <f aca="false">IFERROR(INDEX(Mentors!$B:$B,MATCH($B16,Mentors!$A:$A,0)),"")</f>
        <v/>
      </c>
      <c r="E16" s="11" t="str">
        <f aca="false">IFERROR(INDEX(Mentors!$Q:$Q,MATCH($B16,Mentors!$A:$A,0)),"")</f>
        <v/>
      </c>
      <c r="F16" s="22" t="str">
        <f aca="false">IFERROR(INDEX(Mentors!$P:$P,MATCH($B16,Mentors!$A:$A,0)),"")</f>
        <v/>
      </c>
      <c r="G16" s="17" t="str">
        <f aca="false">IFERROR(INDEX(Mentors!$T:$T,MATCH($B16,Mentors!$A:$A,0)),"")</f>
        <v/>
      </c>
      <c r="H16" s="23"/>
      <c r="I16" s="23"/>
    </row>
  </sheetData>
  <dataValidations count="1">
    <dataValidation allowBlank="true" errorStyle="stop" operator="between" showDropDown="false" showErrorMessage="false" showInputMessage="false" sqref="H6:H16" type="list">
      <formula1>"Assigned,Backup,No"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6"/>
  </cols>
  <sheetData>
    <row r="1" customFormat="false" ht="19.7" hidden="false" customHeight="false" outlineLevel="0" collapsed="false">
      <c r="A1" s="6" t="s">
        <v>138</v>
      </c>
    </row>
    <row r="2" customFormat="false" ht="15" hidden="false" customHeight="false" outlineLevel="0" collapsed="false">
      <c r="A2" s="18" t="s">
        <v>139</v>
      </c>
    </row>
    <row r="3" customFormat="false" ht="15" hidden="false" customHeight="false" outlineLevel="0" collapsed="false">
      <c r="A3" s="4" t="s">
        <v>121</v>
      </c>
      <c r="B3" s="19" t="s">
        <v>140</v>
      </c>
    </row>
    <row r="5" customFormat="false" ht="15" hidden="false" customHeight="false" outlineLevel="0" collapsed="false">
      <c r="A5" s="8" t="s">
        <v>123</v>
      </c>
      <c r="B5" s="8" t="s">
        <v>124</v>
      </c>
      <c r="C5" s="8" t="s">
        <v>125</v>
      </c>
      <c r="D5" s="8" t="s">
        <v>16</v>
      </c>
      <c r="E5" s="8" t="s">
        <v>31</v>
      </c>
      <c r="F5" s="8" t="s">
        <v>126</v>
      </c>
      <c r="G5" s="8" t="s">
        <v>34</v>
      </c>
      <c r="H5" s="8" t="s">
        <v>127</v>
      </c>
      <c r="I5" s="8" t="s">
        <v>38</v>
      </c>
    </row>
    <row r="6" customFormat="false" ht="15" hidden="false" customHeight="false" outlineLevel="0" collapsed="false">
      <c r="A6" s="20" t="n">
        <v>1</v>
      </c>
      <c r="B6" s="21" t="s">
        <v>110</v>
      </c>
      <c r="C6" s="22" t="s">
        <v>141</v>
      </c>
      <c r="D6" s="17" t="str">
        <f aca="false">IFERROR(INDEX(Mentors!$B:$B,MATCH($B6,Mentors!$A:$A,0)),"")</f>
        <v>In</v>
      </c>
      <c r="E6" s="11" t="str">
        <f aca="false">IFERROR(INDEX(Mentors!$Q:$Q,MATCH($B6,Mentors!$A:$A,0)),"")</f>
        <v>One</v>
      </c>
      <c r="F6" s="22" t="str">
        <f aca="false">IFERROR(INDEX(Mentors!$P:$P,MATCH($B6,Mentors!$A:$A,0)),"")</f>
        <v>Health &amp; Bio, Cross-sector</v>
      </c>
      <c r="G6" s="17" t="str">
        <f aca="false">IFERROR(INDEX(Mentors!$T:$T,MATCH($B6,Mentors!$A:$A,0)),"")</f>
        <v>Spain</v>
      </c>
      <c r="H6" s="23"/>
      <c r="I6" s="23"/>
    </row>
    <row r="7" customFormat="false" ht="22.35" hidden="false" customHeight="false" outlineLevel="0" collapsed="false">
      <c r="A7" s="20" t="n">
        <v>2</v>
      </c>
      <c r="B7" s="21" t="s">
        <v>81</v>
      </c>
      <c r="C7" s="22" t="s">
        <v>142</v>
      </c>
      <c r="D7" s="17" t="str">
        <f aca="false">IFERROR(INDEX(Mentors!$B:$B,MATCH($B7,Mentors!$A:$A,0)),"")</f>
        <v>In</v>
      </c>
      <c r="E7" s="11" t="str">
        <f aca="false">IFERROR(INDEX(Mentors!$Q:$Q,MATCH($B7,Mentors!$A:$A,0)),"")</f>
        <v>Two</v>
      </c>
      <c r="F7" s="22" t="str">
        <f aca="false">IFERROR(INDEX(Mentors!$P:$P,MATCH($B7,Mentors!$A:$A,0)),"")</f>
        <v>Hardware, Materials &amp; Manufacturing, Energy, Climate &amp; Sustainability</v>
      </c>
      <c r="G7" s="17" t="str">
        <f aca="false">IFERROR(INDEX(Mentors!$T:$T,MATCH($B7,Mentors!$A:$A,0)),"")</f>
        <v>Finland</v>
      </c>
      <c r="H7" s="23"/>
      <c r="I7" s="23"/>
    </row>
    <row r="8" customFormat="false" ht="22.35" hidden="false" customHeight="false" outlineLevel="0" collapsed="false">
      <c r="A8" s="20" t="n">
        <v>3</v>
      </c>
      <c r="B8" s="21" t="s">
        <v>73</v>
      </c>
      <c r="C8" s="22" t="s">
        <v>143</v>
      </c>
      <c r="D8" s="17" t="str">
        <f aca="false">IFERROR(INDEX(Mentors!$B:$B,MATCH($B8,Mentors!$A:$A,0)),"")</f>
        <v>In</v>
      </c>
      <c r="E8" s="11" t="str">
        <f aca="false">IFERROR(INDEX(Mentors!$Q:$Q,MATCH($B8,Mentors!$A:$A,0)),"")</f>
        <v>Two</v>
      </c>
      <c r="F8" s="22" t="str">
        <f aca="false">IFERROR(INDEX(Mentors!$P:$P,MATCH($B8,Mentors!$A:$A,0)),"")</f>
        <v>AI/ML &amp; Data, Software / Cloud / Telecom</v>
      </c>
      <c r="G8" s="17" t="str">
        <f aca="false">IFERROR(INDEX(Mentors!$T:$T,MATCH($B8,Mentors!$A:$A,0)),"")</f>
        <v>Finland</v>
      </c>
      <c r="H8" s="23"/>
      <c r="I8" s="23"/>
    </row>
    <row r="10" customFormat="false" ht="15" hidden="false" customHeight="false" outlineLevel="0" collapsed="false">
      <c r="A10" s="4" t="s">
        <v>131</v>
      </c>
      <c r="B10" s="24" t="s">
        <v>132</v>
      </c>
    </row>
    <row r="11" customFormat="false" ht="15" hidden="false" customHeight="false" outlineLevel="0" collapsed="false">
      <c r="A11" s="25" t="s">
        <v>116</v>
      </c>
      <c r="B11" s="26" t="s">
        <v>113</v>
      </c>
      <c r="C11" s="27" t="s">
        <v>133</v>
      </c>
      <c r="D11" s="28" t="str">
        <f aca="false">IFERROR(INDEX(Mentors!$B:$B,MATCH($B11,Mentors!$A:$A,0)),"")</f>
        <v>Ad-hoc</v>
      </c>
      <c r="E11" s="28" t="str">
        <f aca="false">IFERROR(INDEX(Mentors!$Q:$Q,MATCH($B11,Mentors!$A:$A,0)),"")</f>
        <v>One</v>
      </c>
      <c r="F11" s="28" t="str">
        <f aca="false">IFERROR(INDEX(Mentors!$P:$P,MATCH($B11,Mentors!$A:$A,0)),"")</f>
        <v>AI/ML &amp; Data</v>
      </c>
      <c r="G11" s="28" t="str">
        <f aca="false">IFERROR(INDEX(Mentors!$T:$T,MATCH($B11,Mentors!$A:$A,0)),"")</f>
        <v>Abroad</v>
      </c>
      <c r="H11" s="29"/>
      <c r="I11" s="29"/>
    </row>
    <row r="12" customFormat="false" ht="15" hidden="false" customHeight="false" outlineLevel="0" collapsed="false">
      <c r="A12" s="29"/>
      <c r="B12" s="23"/>
      <c r="C12" s="23"/>
      <c r="D12" s="17" t="str">
        <f aca="false">IFERROR(INDEX(Mentors!$B:$B,MATCH($B12,Mentors!$A:$A,0)),"")</f>
        <v/>
      </c>
      <c r="E12" s="11" t="str">
        <f aca="false">IFERROR(INDEX(Mentors!$Q:$Q,MATCH($B12,Mentors!$A:$A,0)),"")</f>
        <v/>
      </c>
      <c r="F12" s="22" t="str">
        <f aca="false">IFERROR(INDEX(Mentors!$P:$P,MATCH($B12,Mentors!$A:$A,0)),"")</f>
        <v/>
      </c>
      <c r="G12" s="17" t="str">
        <f aca="false">IFERROR(INDEX(Mentors!$T:$T,MATCH($B12,Mentors!$A:$A,0)),"")</f>
        <v/>
      </c>
      <c r="H12" s="23"/>
      <c r="I12" s="23"/>
    </row>
    <row r="13" customFormat="false" ht="15" hidden="false" customHeight="false" outlineLevel="0" collapsed="false">
      <c r="A13" s="29"/>
      <c r="B13" s="23"/>
      <c r="C13" s="23"/>
      <c r="D13" s="17" t="str">
        <f aca="false">IFERROR(INDEX(Mentors!$B:$B,MATCH($B13,Mentors!$A:$A,0)),"")</f>
        <v/>
      </c>
      <c r="E13" s="11" t="str">
        <f aca="false">IFERROR(INDEX(Mentors!$Q:$Q,MATCH($B13,Mentors!$A:$A,0)),"")</f>
        <v/>
      </c>
      <c r="F13" s="22" t="str">
        <f aca="false">IFERROR(INDEX(Mentors!$P:$P,MATCH($B13,Mentors!$A:$A,0)),"")</f>
        <v/>
      </c>
      <c r="G13" s="17" t="str">
        <f aca="false">IFERROR(INDEX(Mentors!$T:$T,MATCH($B13,Mentors!$A:$A,0)),"")</f>
        <v/>
      </c>
      <c r="H13" s="23"/>
      <c r="I13" s="23"/>
    </row>
    <row r="14" customFormat="false" ht="15" hidden="false" customHeight="false" outlineLevel="0" collapsed="false">
      <c r="A14" s="29"/>
      <c r="B14" s="23"/>
      <c r="C14" s="23"/>
      <c r="D14" s="17" t="str">
        <f aca="false">IFERROR(INDEX(Mentors!$B:$B,MATCH($B14,Mentors!$A:$A,0)),"")</f>
        <v/>
      </c>
      <c r="E14" s="11" t="str">
        <f aca="false">IFERROR(INDEX(Mentors!$Q:$Q,MATCH($B14,Mentors!$A:$A,0)),"")</f>
        <v/>
      </c>
      <c r="F14" s="22" t="str">
        <f aca="false">IFERROR(INDEX(Mentors!$P:$P,MATCH($B14,Mentors!$A:$A,0)),"")</f>
        <v/>
      </c>
      <c r="G14" s="17" t="str">
        <f aca="false">IFERROR(INDEX(Mentors!$T:$T,MATCH($B14,Mentors!$A:$A,0)),"")</f>
        <v/>
      </c>
      <c r="H14" s="23"/>
      <c r="I14" s="23"/>
    </row>
    <row r="15" customFormat="false" ht="15" hidden="false" customHeight="false" outlineLevel="0" collapsed="false">
      <c r="A15" s="29"/>
      <c r="B15" s="23"/>
      <c r="C15" s="23"/>
      <c r="D15" s="17" t="str">
        <f aca="false">IFERROR(INDEX(Mentors!$B:$B,MATCH($B15,Mentors!$A:$A,0)),"")</f>
        <v/>
      </c>
      <c r="E15" s="11" t="str">
        <f aca="false">IFERROR(INDEX(Mentors!$Q:$Q,MATCH($B15,Mentors!$A:$A,0)),"")</f>
        <v/>
      </c>
      <c r="F15" s="22" t="str">
        <f aca="false">IFERROR(INDEX(Mentors!$P:$P,MATCH($B15,Mentors!$A:$A,0)),"")</f>
        <v/>
      </c>
      <c r="G15" s="17" t="str">
        <f aca="false">IFERROR(INDEX(Mentors!$T:$T,MATCH($B15,Mentors!$A:$A,0)),"")</f>
        <v/>
      </c>
      <c r="H15" s="23"/>
      <c r="I15" s="23"/>
    </row>
    <row r="16" customFormat="false" ht="15" hidden="false" customHeight="false" outlineLevel="0" collapsed="false">
      <c r="A16" s="29"/>
      <c r="B16" s="23"/>
      <c r="C16" s="23"/>
      <c r="D16" s="17" t="str">
        <f aca="false">IFERROR(INDEX(Mentors!$B:$B,MATCH($B16,Mentors!$A:$A,0)),"")</f>
        <v/>
      </c>
      <c r="E16" s="11" t="str">
        <f aca="false">IFERROR(INDEX(Mentors!$Q:$Q,MATCH($B16,Mentors!$A:$A,0)),"")</f>
        <v/>
      </c>
      <c r="F16" s="22" t="str">
        <f aca="false">IFERROR(INDEX(Mentors!$P:$P,MATCH($B16,Mentors!$A:$A,0)),"")</f>
        <v/>
      </c>
      <c r="G16" s="17" t="str">
        <f aca="false">IFERROR(INDEX(Mentors!$T:$T,MATCH($B16,Mentors!$A:$A,0)),"")</f>
        <v/>
      </c>
      <c r="H16" s="23"/>
      <c r="I16" s="23"/>
    </row>
  </sheetData>
  <dataValidations count="1">
    <dataValidation allowBlank="true" errorStyle="stop" operator="between" showDropDown="false" showErrorMessage="false" showInputMessage="false" sqref="H6:H16" type="list">
      <formula1>"Assigned,Backup,No"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6"/>
  </cols>
  <sheetData>
    <row r="1" customFormat="false" ht="19.7" hidden="false" customHeight="false" outlineLevel="0" collapsed="false">
      <c r="A1" s="6" t="s">
        <v>144</v>
      </c>
    </row>
    <row r="2" customFormat="false" ht="15" hidden="false" customHeight="false" outlineLevel="0" collapsed="false">
      <c r="A2" s="18" t="s">
        <v>145</v>
      </c>
    </row>
    <row r="3" customFormat="false" ht="15" hidden="false" customHeight="false" outlineLevel="0" collapsed="false">
      <c r="A3" s="4" t="s">
        <v>121</v>
      </c>
      <c r="B3" s="19" t="s">
        <v>140</v>
      </c>
    </row>
    <row r="5" customFormat="false" ht="15" hidden="false" customHeight="false" outlineLevel="0" collapsed="false">
      <c r="A5" s="8" t="s">
        <v>123</v>
      </c>
      <c r="B5" s="8" t="s">
        <v>124</v>
      </c>
      <c r="C5" s="8" t="s">
        <v>125</v>
      </c>
      <c r="D5" s="8" t="s">
        <v>16</v>
      </c>
      <c r="E5" s="8" t="s">
        <v>31</v>
      </c>
      <c r="F5" s="8" t="s">
        <v>126</v>
      </c>
      <c r="G5" s="8" t="s">
        <v>34</v>
      </c>
      <c r="H5" s="8" t="s">
        <v>127</v>
      </c>
      <c r="I5" s="8" t="s">
        <v>38</v>
      </c>
    </row>
    <row r="6" customFormat="false" ht="15" hidden="false" customHeight="false" outlineLevel="0" collapsed="false">
      <c r="A6" s="20" t="n">
        <v>1</v>
      </c>
      <c r="B6" s="21" t="s">
        <v>110</v>
      </c>
      <c r="C6" s="22" t="s">
        <v>146</v>
      </c>
      <c r="D6" s="17" t="str">
        <f aca="false">IFERROR(INDEX(Mentors!$B:$B,MATCH($B6,Mentors!$A:$A,0)),"")</f>
        <v>In</v>
      </c>
      <c r="E6" s="11" t="str">
        <f aca="false">IFERROR(INDEX(Mentors!$Q:$Q,MATCH($B6,Mentors!$A:$A,0)),"")</f>
        <v>One</v>
      </c>
      <c r="F6" s="22" t="str">
        <f aca="false">IFERROR(INDEX(Mentors!$P:$P,MATCH($B6,Mentors!$A:$A,0)),"")</f>
        <v>Health &amp; Bio, Cross-sector</v>
      </c>
      <c r="G6" s="17" t="str">
        <f aca="false">IFERROR(INDEX(Mentors!$T:$T,MATCH($B6,Mentors!$A:$A,0)),"")</f>
        <v>Spain</v>
      </c>
      <c r="H6" s="23"/>
      <c r="I6" s="23"/>
    </row>
    <row r="7" customFormat="false" ht="22.35" hidden="false" customHeight="false" outlineLevel="0" collapsed="false">
      <c r="A7" s="20" t="n">
        <v>2</v>
      </c>
      <c r="B7" s="21" t="s">
        <v>81</v>
      </c>
      <c r="C7" s="22" t="s">
        <v>147</v>
      </c>
      <c r="D7" s="17" t="str">
        <f aca="false">IFERROR(INDEX(Mentors!$B:$B,MATCH($B7,Mentors!$A:$A,0)),"")</f>
        <v>In</v>
      </c>
      <c r="E7" s="11" t="str">
        <f aca="false">IFERROR(INDEX(Mentors!$Q:$Q,MATCH($B7,Mentors!$A:$A,0)),"")</f>
        <v>Two</v>
      </c>
      <c r="F7" s="22" t="str">
        <f aca="false">IFERROR(INDEX(Mentors!$P:$P,MATCH($B7,Mentors!$A:$A,0)),"")</f>
        <v>Hardware, Materials &amp; Manufacturing, Energy, Climate &amp; Sustainability</v>
      </c>
      <c r="G7" s="17" t="str">
        <f aca="false">IFERROR(INDEX(Mentors!$T:$T,MATCH($B7,Mentors!$A:$A,0)),"")</f>
        <v>Finland</v>
      </c>
      <c r="H7" s="23"/>
      <c r="I7" s="23"/>
    </row>
    <row r="8" customFormat="false" ht="22.35" hidden="false" customHeight="false" outlineLevel="0" collapsed="false">
      <c r="A8" s="20" t="n">
        <v>3</v>
      </c>
      <c r="B8" s="21" t="s">
        <v>75</v>
      </c>
      <c r="C8" s="22" t="s">
        <v>148</v>
      </c>
      <c r="D8" s="17" t="str">
        <f aca="false">IFERROR(INDEX(Mentors!$B:$B,MATCH($B8,Mentors!$A:$A,0)),"")</f>
        <v>In</v>
      </c>
      <c r="E8" s="11" t="str">
        <f aca="false">IFERROR(INDEX(Mentors!$Q:$Q,MATCH($B8,Mentors!$A:$A,0)),"")</f>
        <v>More</v>
      </c>
      <c r="F8" s="22" t="str">
        <f aca="false">IFERROR(INDEX(Mentors!$P:$P,MATCH($B8,Mentors!$A:$A,0)),"")</f>
        <v>Energy, Climate &amp; Sustainability, Health &amp; Bio</v>
      </c>
      <c r="G8" s="17" t="str">
        <f aca="false">IFERROR(INDEX(Mentors!$T:$T,MATCH($B8,Mentors!$A:$A,0)),"")</f>
        <v>Finland</v>
      </c>
      <c r="H8" s="23"/>
      <c r="I8" s="23"/>
    </row>
    <row r="10" customFormat="false" ht="15" hidden="false" customHeight="false" outlineLevel="0" collapsed="false">
      <c r="A10" s="4" t="s">
        <v>131</v>
      </c>
      <c r="B10" s="24" t="s">
        <v>132</v>
      </c>
    </row>
    <row r="11" customFormat="false" ht="15" hidden="false" customHeight="false" outlineLevel="0" collapsed="false">
      <c r="A11" s="25" t="s">
        <v>116</v>
      </c>
      <c r="B11" s="26" t="s">
        <v>113</v>
      </c>
      <c r="C11" s="27" t="s">
        <v>133</v>
      </c>
      <c r="D11" s="28" t="str">
        <f aca="false">IFERROR(INDEX(Mentors!$B:$B,MATCH($B11,Mentors!$A:$A,0)),"")</f>
        <v>Ad-hoc</v>
      </c>
      <c r="E11" s="28" t="str">
        <f aca="false">IFERROR(INDEX(Mentors!$Q:$Q,MATCH($B11,Mentors!$A:$A,0)),"")</f>
        <v>One</v>
      </c>
      <c r="F11" s="28" t="str">
        <f aca="false">IFERROR(INDEX(Mentors!$P:$P,MATCH($B11,Mentors!$A:$A,0)),"")</f>
        <v>AI/ML &amp; Data</v>
      </c>
      <c r="G11" s="28" t="str">
        <f aca="false">IFERROR(INDEX(Mentors!$T:$T,MATCH($B11,Mentors!$A:$A,0)),"")</f>
        <v>Abroad</v>
      </c>
      <c r="H11" s="29"/>
      <c r="I11" s="29"/>
    </row>
    <row r="12" customFormat="false" ht="15" hidden="false" customHeight="false" outlineLevel="0" collapsed="false">
      <c r="A12" s="29"/>
      <c r="B12" s="23"/>
      <c r="C12" s="23"/>
      <c r="D12" s="17" t="str">
        <f aca="false">IFERROR(INDEX(Mentors!$B:$B,MATCH($B12,Mentors!$A:$A,0)),"")</f>
        <v/>
      </c>
      <c r="E12" s="11" t="str">
        <f aca="false">IFERROR(INDEX(Mentors!$Q:$Q,MATCH($B12,Mentors!$A:$A,0)),"")</f>
        <v/>
      </c>
      <c r="F12" s="22" t="str">
        <f aca="false">IFERROR(INDEX(Mentors!$P:$P,MATCH($B12,Mentors!$A:$A,0)),"")</f>
        <v/>
      </c>
      <c r="G12" s="17" t="str">
        <f aca="false">IFERROR(INDEX(Mentors!$T:$T,MATCH($B12,Mentors!$A:$A,0)),"")</f>
        <v/>
      </c>
      <c r="H12" s="23"/>
      <c r="I12" s="23"/>
    </row>
    <row r="13" customFormat="false" ht="15" hidden="false" customHeight="false" outlineLevel="0" collapsed="false">
      <c r="A13" s="29"/>
      <c r="B13" s="23"/>
      <c r="C13" s="23"/>
      <c r="D13" s="17" t="str">
        <f aca="false">IFERROR(INDEX(Mentors!$B:$B,MATCH($B13,Mentors!$A:$A,0)),"")</f>
        <v/>
      </c>
      <c r="E13" s="11" t="str">
        <f aca="false">IFERROR(INDEX(Mentors!$Q:$Q,MATCH($B13,Mentors!$A:$A,0)),"")</f>
        <v/>
      </c>
      <c r="F13" s="22" t="str">
        <f aca="false">IFERROR(INDEX(Mentors!$P:$P,MATCH($B13,Mentors!$A:$A,0)),"")</f>
        <v/>
      </c>
      <c r="G13" s="17" t="str">
        <f aca="false">IFERROR(INDEX(Mentors!$T:$T,MATCH($B13,Mentors!$A:$A,0)),"")</f>
        <v/>
      </c>
      <c r="H13" s="23"/>
      <c r="I13" s="23"/>
    </row>
    <row r="14" customFormat="false" ht="15" hidden="false" customHeight="false" outlineLevel="0" collapsed="false">
      <c r="A14" s="29"/>
      <c r="B14" s="23"/>
      <c r="C14" s="23"/>
      <c r="D14" s="17" t="str">
        <f aca="false">IFERROR(INDEX(Mentors!$B:$B,MATCH($B14,Mentors!$A:$A,0)),"")</f>
        <v/>
      </c>
      <c r="E14" s="11" t="str">
        <f aca="false">IFERROR(INDEX(Mentors!$Q:$Q,MATCH($B14,Mentors!$A:$A,0)),"")</f>
        <v/>
      </c>
      <c r="F14" s="22" t="str">
        <f aca="false">IFERROR(INDEX(Mentors!$P:$P,MATCH($B14,Mentors!$A:$A,0)),"")</f>
        <v/>
      </c>
      <c r="G14" s="17" t="str">
        <f aca="false">IFERROR(INDEX(Mentors!$T:$T,MATCH($B14,Mentors!$A:$A,0)),"")</f>
        <v/>
      </c>
      <c r="H14" s="23"/>
      <c r="I14" s="23"/>
    </row>
    <row r="15" customFormat="false" ht="15" hidden="false" customHeight="false" outlineLevel="0" collapsed="false">
      <c r="A15" s="29"/>
      <c r="B15" s="23"/>
      <c r="C15" s="23"/>
      <c r="D15" s="17" t="str">
        <f aca="false">IFERROR(INDEX(Mentors!$B:$B,MATCH($B15,Mentors!$A:$A,0)),"")</f>
        <v/>
      </c>
      <c r="E15" s="11" t="str">
        <f aca="false">IFERROR(INDEX(Mentors!$Q:$Q,MATCH($B15,Mentors!$A:$A,0)),"")</f>
        <v/>
      </c>
      <c r="F15" s="22" t="str">
        <f aca="false">IFERROR(INDEX(Mentors!$P:$P,MATCH($B15,Mentors!$A:$A,0)),"")</f>
        <v/>
      </c>
      <c r="G15" s="17" t="str">
        <f aca="false">IFERROR(INDEX(Mentors!$T:$T,MATCH($B15,Mentors!$A:$A,0)),"")</f>
        <v/>
      </c>
      <c r="H15" s="23"/>
      <c r="I15" s="23"/>
    </row>
    <row r="16" customFormat="false" ht="15" hidden="false" customHeight="false" outlineLevel="0" collapsed="false">
      <c r="A16" s="29"/>
      <c r="B16" s="23"/>
      <c r="C16" s="23"/>
      <c r="D16" s="17" t="str">
        <f aca="false">IFERROR(INDEX(Mentors!$B:$B,MATCH($B16,Mentors!$A:$A,0)),"")</f>
        <v/>
      </c>
      <c r="E16" s="11" t="str">
        <f aca="false">IFERROR(INDEX(Mentors!$Q:$Q,MATCH($B16,Mentors!$A:$A,0)),"")</f>
        <v/>
      </c>
      <c r="F16" s="22" t="str">
        <f aca="false">IFERROR(INDEX(Mentors!$P:$P,MATCH($B16,Mentors!$A:$A,0)),"")</f>
        <v/>
      </c>
      <c r="G16" s="17" t="str">
        <f aca="false">IFERROR(INDEX(Mentors!$T:$T,MATCH($B16,Mentors!$A:$A,0)),"")</f>
        <v/>
      </c>
      <c r="H16" s="23"/>
      <c r="I16" s="23"/>
    </row>
  </sheetData>
  <dataValidations count="1">
    <dataValidation allowBlank="true" errorStyle="stop" operator="between" showDropDown="false" showErrorMessage="false" showInputMessage="false" sqref="H6:H16" type="list">
      <formula1>"Assigned,Backup,No"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6"/>
  </cols>
  <sheetData>
    <row r="1" customFormat="false" ht="19.7" hidden="false" customHeight="false" outlineLevel="0" collapsed="false">
      <c r="A1" s="6" t="s">
        <v>149</v>
      </c>
    </row>
    <row r="2" customFormat="false" ht="15" hidden="false" customHeight="false" outlineLevel="0" collapsed="false">
      <c r="A2" s="18" t="s">
        <v>150</v>
      </c>
    </row>
    <row r="3" customFormat="false" ht="15" hidden="false" customHeight="false" outlineLevel="0" collapsed="false">
      <c r="A3" s="4" t="s">
        <v>121</v>
      </c>
      <c r="B3" s="19" t="s">
        <v>151</v>
      </c>
    </row>
    <row r="5" customFormat="false" ht="15" hidden="false" customHeight="false" outlineLevel="0" collapsed="false">
      <c r="A5" s="8" t="s">
        <v>123</v>
      </c>
      <c r="B5" s="8" t="s">
        <v>124</v>
      </c>
      <c r="C5" s="8" t="s">
        <v>125</v>
      </c>
      <c r="D5" s="8" t="s">
        <v>16</v>
      </c>
      <c r="E5" s="8" t="s">
        <v>31</v>
      </c>
      <c r="F5" s="8" t="s">
        <v>126</v>
      </c>
      <c r="G5" s="8" t="s">
        <v>34</v>
      </c>
      <c r="H5" s="8" t="s">
        <v>127</v>
      </c>
      <c r="I5" s="8" t="s">
        <v>38</v>
      </c>
    </row>
    <row r="6" customFormat="false" ht="22.35" hidden="false" customHeight="false" outlineLevel="0" collapsed="false">
      <c r="A6" s="20" t="n">
        <v>1</v>
      </c>
      <c r="B6" s="21" t="s">
        <v>63</v>
      </c>
      <c r="C6" s="22" t="s">
        <v>137</v>
      </c>
      <c r="D6" s="17" t="str">
        <f aca="false">IFERROR(INDEX(Mentors!$B:$B,MATCH($B6,Mentors!$A:$A,0)),"")</f>
        <v>In</v>
      </c>
      <c r="E6" s="11" t="str">
        <f aca="false">IFERROR(INDEX(Mentors!$Q:$Q,MATCH($B6,Mentors!$A:$A,0)),"")</f>
        <v>One</v>
      </c>
      <c r="F6" s="22" t="str">
        <f aca="false">IFERROR(INDEX(Mentors!$P:$P,MATCH($B6,Mentors!$A:$A,0)),"")</f>
        <v>AI/ML &amp; Data, Software / Cloud / Telecom</v>
      </c>
      <c r="G6" s="17" t="str">
        <f aca="false">IFERROR(INDEX(Mentors!$T:$T,MATCH($B6,Mentors!$A:$A,0)),"")</f>
        <v>Usa</v>
      </c>
      <c r="H6" s="23"/>
      <c r="I6" s="23"/>
    </row>
    <row r="7" customFormat="false" ht="22.35" hidden="false" customHeight="false" outlineLevel="0" collapsed="false">
      <c r="A7" s="20" t="n">
        <v>2</v>
      </c>
      <c r="B7" s="21" t="s">
        <v>90</v>
      </c>
      <c r="C7" s="22" t="s">
        <v>128</v>
      </c>
      <c r="D7" s="17" t="str">
        <f aca="false">IFERROR(INDEX(Mentors!$B:$B,MATCH($B7,Mentors!$A:$A,0)),"")</f>
        <v>Maybe</v>
      </c>
      <c r="E7" s="11" t="str">
        <f aca="false">IFERROR(INDEX(Mentors!$Q:$Q,MATCH($B7,Mentors!$A:$A,0)),"")</f>
        <v>Two</v>
      </c>
      <c r="F7" s="22" t="str">
        <f aca="false">IFERROR(INDEX(Mentors!$P:$P,MATCH($B7,Mentors!$A:$A,0)),"")</f>
        <v>AI/ML &amp; Data, Cross-sector</v>
      </c>
      <c r="G7" s="17" t="str">
        <f aca="false">IFERROR(INDEX(Mentors!$T:$T,MATCH($B7,Mentors!$A:$A,0)),"")</f>
        <v>USA</v>
      </c>
      <c r="H7" s="23"/>
      <c r="I7" s="23"/>
    </row>
    <row r="8" customFormat="false" ht="22.35" hidden="false" customHeight="false" outlineLevel="0" collapsed="false">
      <c r="A8" s="20" t="n">
        <v>3</v>
      </c>
      <c r="B8" s="21" t="s">
        <v>75</v>
      </c>
      <c r="C8" s="22" t="s">
        <v>152</v>
      </c>
      <c r="D8" s="17" t="str">
        <f aca="false">IFERROR(INDEX(Mentors!$B:$B,MATCH($B8,Mentors!$A:$A,0)),"")</f>
        <v>In</v>
      </c>
      <c r="E8" s="11" t="str">
        <f aca="false">IFERROR(INDEX(Mentors!$Q:$Q,MATCH($B8,Mentors!$A:$A,0)),"")</f>
        <v>More</v>
      </c>
      <c r="F8" s="22" t="str">
        <f aca="false">IFERROR(INDEX(Mentors!$P:$P,MATCH($B8,Mentors!$A:$A,0)),"")</f>
        <v>Energy, Climate &amp; Sustainability, Health &amp; Bio</v>
      </c>
      <c r="G8" s="17" t="str">
        <f aca="false">IFERROR(INDEX(Mentors!$T:$T,MATCH($B8,Mentors!$A:$A,0)),"")</f>
        <v>Finland</v>
      </c>
      <c r="H8" s="23"/>
      <c r="I8" s="23"/>
    </row>
    <row r="10" customFormat="false" ht="15" hidden="false" customHeight="false" outlineLevel="0" collapsed="false">
      <c r="A10" s="4" t="s">
        <v>131</v>
      </c>
      <c r="B10" s="24" t="s">
        <v>132</v>
      </c>
    </row>
    <row r="11" customFormat="false" ht="15" hidden="false" customHeight="false" outlineLevel="0" collapsed="false">
      <c r="A11" s="25" t="s">
        <v>116</v>
      </c>
      <c r="B11" s="26" t="s">
        <v>113</v>
      </c>
      <c r="C11" s="27" t="s">
        <v>133</v>
      </c>
      <c r="D11" s="28" t="str">
        <f aca="false">IFERROR(INDEX(Mentors!$B:$B,MATCH($B11,Mentors!$A:$A,0)),"")</f>
        <v>Ad-hoc</v>
      </c>
      <c r="E11" s="28" t="str">
        <f aca="false">IFERROR(INDEX(Mentors!$Q:$Q,MATCH($B11,Mentors!$A:$A,0)),"")</f>
        <v>One</v>
      </c>
      <c r="F11" s="28" t="str">
        <f aca="false">IFERROR(INDEX(Mentors!$P:$P,MATCH($B11,Mentors!$A:$A,0)),"")</f>
        <v>AI/ML &amp; Data</v>
      </c>
      <c r="G11" s="28" t="str">
        <f aca="false">IFERROR(INDEX(Mentors!$T:$T,MATCH($B11,Mentors!$A:$A,0)),"")</f>
        <v>Abroad</v>
      </c>
      <c r="H11" s="29"/>
      <c r="I11" s="29"/>
    </row>
    <row r="12" customFormat="false" ht="15" hidden="false" customHeight="false" outlineLevel="0" collapsed="false">
      <c r="A12" s="29"/>
      <c r="B12" s="23"/>
      <c r="C12" s="23"/>
      <c r="D12" s="17" t="str">
        <f aca="false">IFERROR(INDEX(Mentors!$B:$B,MATCH($B12,Mentors!$A:$A,0)),"")</f>
        <v/>
      </c>
      <c r="E12" s="11" t="str">
        <f aca="false">IFERROR(INDEX(Mentors!$Q:$Q,MATCH($B12,Mentors!$A:$A,0)),"")</f>
        <v/>
      </c>
      <c r="F12" s="22" t="str">
        <f aca="false">IFERROR(INDEX(Mentors!$P:$P,MATCH($B12,Mentors!$A:$A,0)),"")</f>
        <v/>
      </c>
      <c r="G12" s="17" t="str">
        <f aca="false">IFERROR(INDEX(Mentors!$T:$T,MATCH($B12,Mentors!$A:$A,0)),"")</f>
        <v/>
      </c>
      <c r="H12" s="23"/>
      <c r="I12" s="23"/>
    </row>
    <row r="13" customFormat="false" ht="15" hidden="false" customHeight="false" outlineLevel="0" collapsed="false">
      <c r="A13" s="29"/>
      <c r="B13" s="23"/>
      <c r="C13" s="23"/>
      <c r="D13" s="17" t="str">
        <f aca="false">IFERROR(INDEX(Mentors!$B:$B,MATCH($B13,Mentors!$A:$A,0)),"")</f>
        <v/>
      </c>
      <c r="E13" s="11" t="str">
        <f aca="false">IFERROR(INDEX(Mentors!$Q:$Q,MATCH($B13,Mentors!$A:$A,0)),"")</f>
        <v/>
      </c>
      <c r="F13" s="22" t="str">
        <f aca="false">IFERROR(INDEX(Mentors!$P:$P,MATCH($B13,Mentors!$A:$A,0)),"")</f>
        <v/>
      </c>
      <c r="G13" s="17" t="str">
        <f aca="false">IFERROR(INDEX(Mentors!$T:$T,MATCH($B13,Mentors!$A:$A,0)),"")</f>
        <v/>
      </c>
      <c r="H13" s="23"/>
      <c r="I13" s="23"/>
    </row>
    <row r="14" customFormat="false" ht="15" hidden="false" customHeight="false" outlineLevel="0" collapsed="false">
      <c r="A14" s="29"/>
      <c r="B14" s="23"/>
      <c r="C14" s="23"/>
      <c r="D14" s="17" t="str">
        <f aca="false">IFERROR(INDEX(Mentors!$B:$B,MATCH($B14,Mentors!$A:$A,0)),"")</f>
        <v/>
      </c>
      <c r="E14" s="11" t="str">
        <f aca="false">IFERROR(INDEX(Mentors!$Q:$Q,MATCH($B14,Mentors!$A:$A,0)),"")</f>
        <v/>
      </c>
      <c r="F14" s="22" t="str">
        <f aca="false">IFERROR(INDEX(Mentors!$P:$P,MATCH($B14,Mentors!$A:$A,0)),"")</f>
        <v/>
      </c>
      <c r="G14" s="17" t="str">
        <f aca="false">IFERROR(INDEX(Mentors!$T:$T,MATCH($B14,Mentors!$A:$A,0)),"")</f>
        <v/>
      </c>
      <c r="H14" s="23"/>
      <c r="I14" s="23"/>
    </row>
    <row r="15" customFormat="false" ht="15" hidden="false" customHeight="false" outlineLevel="0" collapsed="false">
      <c r="A15" s="29"/>
      <c r="B15" s="23"/>
      <c r="C15" s="23"/>
      <c r="D15" s="17" t="str">
        <f aca="false">IFERROR(INDEX(Mentors!$B:$B,MATCH($B15,Mentors!$A:$A,0)),"")</f>
        <v/>
      </c>
      <c r="E15" s="11" t="str">
        <f aca="false">IFERROR(INDEX(Mentors!$Q:$Q,MATCH($B15,Mentors!$A:$A,0)),"")</f>
        <v/>
      </c>
      <c r="F15" s="22" t="str">
        <f aca="false">IFERROR(INDEX(Mentors!$P:$P,MATCH($B15,Mentors!$A:$A,0)),"")</f>
        <v/>
      </c>
      <c r="G15" s="17" t="str">
        <f aca="false">IFERROR(INDEX(Mentors!$T:$T,MATCH($B15,Mentors!$A:$A,0)),"")</f>
        <v/>
      </c>
      <c r="H15" s="23"/>
      <c r="I15" s="23"/>
    </row>
    <row r="16" customFormat="false" ht="15" hidden="false" customHeight="false" outlineLevel="0" collapsed="false">
      <c r="A16" s="29"/>
      <c r="B16" s="23"/>
      <c r="C16" s="23"/>
      <c r="D16" s="17" t="str">
        <f aca="false">IFERROR(INDEX(Mentors!$B:$B,MATCH($B16,Mentors!$A:$A,0)),"")</f>
        <v/>
      </c>
      <c r="E16" s="11" t="str">
        <f aca="false">IFERROR(INDEX(Mentors!$Q:$Q,MATCH($B16,Mentors!$A:$A,0)),"")</f>
        <v/>
      </c>
      <c r="F16" s="22" t="str">
        <f aca="false">IFERROR(INDEX(Mentors!$P:$P,MATCH($B16,Mentors!$A:$A,0)),"")</f>
        <v/>
      </c>
      <c r="G16" s="17" t="str">
        <f aca="false">IFERROR(INDEX(Mentors!$T:$T,MATCH($B16,Mentors!$A:$A,0)),"")</f>
        <v/>
      </c>
      <c r="H16" s="23"/>
      <c r="I16" s="23"/>
    </row>
  </sheetData>
  <dataValidations count="1">
    <dataValidation allowBlank="true" errorStyle="stop" operator="between" showDropDown="false" showErrorMessage="false" showInputMessage="false" sqref="H6:H16" type="list">
      <formula1>"Assigned,Backup,No"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6"/>
  </cols>
  <sheetData>
    <row r="1" customFormat="false" ht="19.7" hidden="false" customHeight="false" outlineLevel="0" collapsed="false">
      <c r="A1" s="6" t="s">
        <v>153</v>
      </c>
    </row>
    <row r="2" customFormat="false" ht="15" hidden="false" customHeight="false" outlineLevel="0" collapsed="false">
      <c r="A2" s="18" t="s">
        <v>154</v>
      </c>
    </row>
    <row r="3" customFormat="false" ht="15" hidden="false" customHeight="false" outlineLevel="0" collapsed="false">
      <c r="A3" s="4" t="s">
        <v>121</v>
      </c>
      <c r="B3" s="19" t="s">
        <v>155</v>
      </c>
    </row>
    <row r="5" customFormat="false" ht="15" hidden="false" customHeight="false" outlineLevel="0" collapsed="false">
      <c r="A5" s="8" t="s">
        <v>123</v>
      </c>
      <c r="B5" s="8" t="s">
        <v>124</v>
      </c>
      <c r="C5" s="8" t="s">
        <v>125</v>
      </c>
      <c r="D5" s="8" t="s">
        <v>16</v>
      </c>
      <c r="E5" s="8" t="s">
        <v>31</v>
      </c>
      <c r="F5" s="8" t="s">
        <v>126</v>
      </c>
      <c r="G5" s="8" t="s">
        <v>34</v>
      </c>
      <c r="H5" s="8" t="s">
        <v>127</v>
      </c>
      <c r="I5" s="8" t="s">
        <v>38</v>
      </c>
    </row>
    <row r="6" customFormat="false" ht="22.35" hidden="false" customHeight="false" outlineLevel="0" collapsed="false">
      <c r="A6" s="20" t="n">
        <v>1</v>
      </c>
      <c r="B6" s="21" t="s">
        <v>75</v>
      </c>
      <c r="C6" s="22" t="s">
        <v>156</v>
      </c>
      <c r="D6" s="17" t="str">
        <f aca="false">IFERROR(INDEX(Mentors!$B:$B,MATCH($B6,Mentors!$A:$A,0)),"")</f>
        <v>In</v>
      </c>
      <c r="E6" s="11" t="str">
        <f aca="false">IFERROR(INDEX(Mentors!$Q:$Q,MATCH($B6,Mentors!$A:$A,0)),"")</f>
        <v>More</v>
      </c>
      <c r="F6" s="22" t="str">
        <f aca="false">IFERROR(INDEX(Mentors!$P:$P,MATCH($B6,Mentors!$A:$A,0)),"")</f>
        <v>Energy, Climate &amp; Sustainability, Health &amp; Bio</v>
      </c>
      <c r="G6" s="17" t="str">
        <f aca="false">IFERROR(INDEX(Mentors!$T:$T,MATCH($B6,Mentors!$A:$A,0)),"")</f>
        <v>Finland</v>
      </c>
      <c r="H6" s="23"/>
      <c r="I6" s="23"/>
    </row>
    <row r="7" customFormat="false" ht="15" hidden="false" customHeight="false" outlineLevel="0" collapsed="false">
      <c r="A7" s="20" t="n">
        <v>2</v>
      </c>
      <c r="B7" s="21" t="s">
        <v>110</v>
      </c>
      <c r="C7" s="22" t="s">
        <v>157</v>
      </c>
      <c r="D7" s="17" t="str">
        <f aca="false">IFERROR(INDEX(Mentors!$B:$B,MATCH($B7,Mentors!$A:$A,0)),"")</f>
        <v>In</v>
      </c>
      <c r="E7" s="11" t="str">
        <f aca="false">IFERROR(INDEX(Mentors!$Q:$Q,MATCH($B7,Mentors!$A:$A,0)),"")</f>
        <v>One</v>
      </c>
      <c r="F7" s="22" t="str">
        <f aca="false">IFERROR(INDEX(Mentors!$P:$P,MATCH($B7,Mentors!$A:$A,0)),"")</f>
        <v>Health &amp; Bio, Cross-sector</v>
      </c>
      <c r="G7" s="17" t="str">
        <f aca="false">IFERROR(INDEX(Mentors!$T:$T,MATCH($B7,Mentors!$A:$A,0)),"")</f>
        <v>Spain</v>
      </c>
      <c r="H7" s="23"/>
      <c r="I7" s="23"/>
    </row>
    <row r="8" customFormat="false" ht="15" hidden="false" customHeight="false" outlineLevel="0" collapsed="false">
      <c r="A8" s="20" t="n">
        <v>3</v>
      </c>
      <c r="B8" s="21" t="s">
        <v>99</v>
      </c>
      <c r="C8" s="22" t="s">
        <v>129</v>
      </c>
      <c r="D8" s="17" t="str">
        <f aca="false">IFERROR(INDEX(Mentors!$B:$B,MATCH($B8,Mentors!$A:$A,0)),"")</f>
        <v>In</v>
      </c>
      <c r="E8" s="11" t="str">
        <f aca="false">IFERROR(INDEX(Mentors!$Q:$Q,MATCH($B8,Mentors!$A:$A,0)),"")</f>
        <v>Two</v>
      </c>
      <c r="F8" s="22" t="str">
        <f aca="false">IFERROR(INDEX(Mentors!$P:$P,MATCH($B8,Mentors!$A:$A,0)),"")</f>
        <v>Cross-sector</v>
      </c>
      <c r="G8" s="17" t="str">
        <f aca="false">IFERROR(INDEX(Mentors!$T:$T,MATCH($B8,Mentors!$A:$A,0)),"")</f>
        <v>Finland</v>
      </c>
      <c r="H8" s="23"/>
      <c r="I8" s="23"/>
    </row>
    <row r="10" customFormat="false" ht="15" hidden="false" customHeight="false" outlineLevel="0" collapsed="false">
      <c r="A10" s="4" t="s">
        <v>131</v>
      </c>
      <c r="B10" s="24" t="s">
        <v>132</v>
      </c>
    </row>
    <row r="11" customFormat="false" ht="15" hidden="false" customHeight="false" outlineLevel="0" collapsed="false">
      <c r="A11" s="25" t="s">
        <v>116</v>
      </c>
      <c r="B11" s="26" t="s">
        <v>113</v>
      </c>
      <c r="C11" s="27" t="s">
        <v>133</v>
      </c>
      <c r="D11" s="28" t="str">
        <f aca="false">IFERROR(INDEX(Mentors!$B:$B,MATCH($B11,Mentors!$A:$A,0)),"")</f>
        <v>Ad-hoc</v>
      </c>
      <c r="E11" s="28" t="str">
        <f aca="false">IFERROR(INDEX(Mentors!$Q:$Q,MATCH($B11,Mentors!$A:$A,0)),"")</f>
        <v>One</v>
      </c>
      <c r="F11" s="28" t="str">
        <f aca="false">IFERROR(INDEX(Mentors!$P:$P,MATCH($B11,Mentors!$A:$A,0)),"")</f>
        <v>AI/ML &amp; Data</v>
      </c>
      <c r="G11" s="28" t="str">
        <f aca="false">IFERROR(INDEX(Mentors!$T:$T,MATCH($B11,Mentors!$A:$A,0)),"")</f>
        <v>Abroad</v>
      </c>
      <c r="H11" s="29"/>
      <c r="I11" s="29"/>
    </row>
    <row r="12" customFormat="false" ht="15" hidden="false" customHeight="false" outlineLevel="0" collapsed="false">
      <c r="A12" s="29"/>
      <c r="B12" s="23"/>
      <c r="C12" s="23"/>
      <c r="D12" s="17" t="str">
        <f aca="false">IFERROR(INDEX(Mentors!$B:$B,MATCH($B12,Mentors!$A:$A,0)),"")</f>
        <v/>
      </c>
      <c r="E12" s="11" t="str">
        <f aca="false">IFERROR(INDEX(Mentors!$Q:$Q,MATCH($B12,Mentors!$A:$A,0)),"")</f>
        <v/>
      </c>
      <c r="F12" s="22" t="str">
        <f aca="false">IFERROR(INDEX(Mentors!$P:$P,MATCH($B12,Mentors!$A:$A,0)),"")</f>
        <v/>
      </c>
      <c r="G12" s="17" t="str">
        <f aca="false">IFERROR(INDEX(Mentors!$T:$T,MATCH($B12,Mentors!$A:$A,0)),"")</f>
        <v/>
      </c>
      <c r="H12" s="23"/>
      <c r="I12" s="23"/>
    </row>
    <row r="13" customFormat="false" ht="15" hidden="false" customHeight="false" outlineLevel="0" collapsed="false">
      <c r="A13" s="29"/>
      <c r="B13" s="23"/>
      <c r="C13" s="23"/>
      <c r="D13" s="17" t="str">
        <f aca="false">IFERROR(INDEX(Mentors!$B:$B,MATCH($B13,Mentors!$A:$A,0)),"")</f>
        <v/>
      </c>
      <c r="E13" s="11" t="str">
        <f aca="false">IFERROR(INDEX(Mentors!$Q:$Q,MATCH($B13,Mentors!$A:$A,0)),"")</f>
        <v/>
      </c>
      <c r="F13" s="22" t="str">
        <f aca="false">IFERROR(INDEX(Mentors!$P:$P,MATCH($B13,Mentors!$A:$A,0)),"")</f>
        <v/>
      </c>
      <c r="G13" s="17" t="str">
        <f aca="false">IFERROR(INDEX(Mentors!$T:$T,MATCH($B13,Mentors!$A:$A,0)),"")</f>
        <v/>
      </c>
      <c r="H13" s="23"/>
      <c r="I13" s="23"/>
    </row>
    <row r="14" customFormat="false" ht="15" hidden="false" customHeight="false" outlineLevel="0" collapsed="false">
      <c r="A14" s="29"/>
      <c r="B14" s="23"/>
      <c r="C14" s="23"/>
      <c r="D14" s="17" t="str">
        <f aca="false">IFERROR(INDEX(Mentors!$B:$B,MATCH($B14,Mentors!$A:$A,0)),"")</f>
        <v/>
      </c>
      <c r="E14" s="11" t="str">
        <f aca="false">IFERROR(INDEX(Mentors!$Q:$Q,MATCH($B14,Mentors!$A:$A,0)),"")</f>
        <v/>
      </c>
      <c r="F14" s="22" t="str">
        <f aca="false">IFERROR(INDEX(Mentors!$P:$P,MATCH($B14,Mentors!$A:$A,0)),"")</f>
        <v/>
      </c>
      <c r="G14" s="17" t="str">
        <f aca="false">IFERROR(INDEX(Mentors!$T:$T,MATCH($B14,Mentors!$A:$A,0)),"")</f>
        <v/>
      </c>
      <c r="H14" s="23"/>
      <c r="I14" s="23"/>
    </row>
    <row r="15" customFormat="false" ht="15" hidden="false" customHeight="false" outlineLevel="0" collapsed="false">
      <c r="A15" s="29"/>
      <c r="B15" s="23"/>
      <c r="C15" s="23"/>
      <c r="D15" s="17" t="str">
        <f aca="false">IFERROR(INDEX(Mentors!$B:$B,MATCH($B15,Mentors!$A:$A,0)),"")</f>
        <v/>
      </c>
      <c r="E15" s="11" t="str">
        <f aca="false">IFERROR(INDEX(Mentors!$Q:$Q,MATCH($B15,Mentors!$A:$A,0)),"")</f>
        <v/>
      </c>
      <c r="F15" s="22" t="str">
        <f aca="false">IFERROR(INDEX(Mentors!$P:$P,MATCH($B15,Mentors!$A:$A,0)),"")</f>
        <v/>
      </c>
      <c r="G15" s="17" t="str">
        <f aca="false">IFERROR(INDEX(Mentors!$T:$T,MATCH($B15,Mentors!$A:$A,0)),"")</f>
        <v/>
      </c>
      <c r="H15" s="23"/>
      <c r="I15" s="23"/>
    </row>
    <row r="16" customFormat="false" ht="15" hidden="false" customHeight="false" outlineLevel="0" collapsed="false">
      <c r="A16" s="29"/>
      <c r="B16" s="23"/>
      <c r="C16" s="23"/>
      <c r="D16" s="17" t="str">
        <f aca="false">IFERROR(INDEX(Mentors!$B:$B,MATCH($B16,Mentors!$A:$A,0)),"")</f>
        <v/>
      </c>
      <c r="E16" s="11" t="str">
        <f aca="false">IFERROR(INDEX(Mentors!$Q:$Q,MATCH($B16,Mentors!$A:$A,0)),"")</f>
        <v/>
      </c>
      <c r="F16" s="22" t="str">
        <f aca="false">IFERROR(INDEX(Mentors!$P:$P,MATCH($B16,Mentors!$A:$A,0)),"")</f>
        <v/>
      </c>
      <c r="G16" s="17" t="str">
        <f aca="false">IFERROR(INDEX(Mentors!$T:$T,MATCH($B16,Mentors!$A:$A,0)),"")</f>
        <v/>
      </c>
      <c r="H16" s="23"/>
      <c r="I16" s="23"/>
    </row>
  </sheetData>
  <dataValidations count="1">
    <dataValidation allowBlank="true" errorStyle="stop" operator="between" showDropDown="false" showErrorMessage="false" showInputMessage="false" sqref="H6:H16" type="list">
      <formula1>"Assigned,Backup,No"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6"/>
  </cols>
  <sheetData>
    <row r="1" customFormat="false" ht="19.7" hidden="false" customHeight="false" outlineLevel="0" collapsed="false">
      <c r="A1" s="6" t="s">
        <v>158</v>
      </c>
    </row>
    <row r="2" customFormat="false" ht="15" hidden="false" customHeight="false" outlineLevel="0" collapsed="false">
      <c r="A2" s="18" t="s">
        <v>159</v>
      </c>
    </row>
    <row r="3" customFormat="false" ht="15" hidden="false" customHeight="false" outlineLevel="0" collapsed="false">
      <c r="A3" s="4" t="s">
        <v>121</v>
      </c>
      <c r="B3" s="19" t="s">
        <v>160</v>
      </c>
    </row>
    <row r="5" customFormat="false" ht="15" hidden="false" customHeight="false" outlineLevel="0" collapsed="false">
      <c r="A5" s="8" t="s">
        <v>123</v>
      </c>
      <c r="B5" s="8" t="s">
        <v>124</v>
      </c>
      <c r="C5" s="8" t="s">
        <v>125</v>
      </c>
      <c r="D5" s="8" t="s">
        <v>16</v>
      </c>
      <c r="E5" s="8" t="s">
        <v>31</v>
      </c>
      <c r="F5" s="8" t="s">
        <v>126</v>
      </c>
      <c r="G5" s="8" t="s">
        <v>34</v>
      </c>
      <c r="H5" s="8" t="s">
        <v>127</v>
      </c>
      <c r="I5" s="8" t="s">
        <v>38</v>
      </c>
    </row>
    <row r="6" customFormat="false" ht="15" hidden="false" customHeight="false" outlineLevel="0" collapsed="false">
      <c r="A6" s="20" t="n">
        <v>1</v>
      </c>
      <c r="B6" s="21" t="s">
        <v>110</v>
      </c>
      <c r="C6" s="22" t="s">
        <v>146</v>
      </c>
      <c r="D6" s="17" t="str">
        <f aca="false">IFERROR(INDEX(Mentors!$B:$B,MATCH($B6,Mentors!$A:$A,0)),"")</f>
        <v>In</v>
      </c>
      <c r="E6" s="11" t="str">
        <f aca="false">IFERROR(INDEX(Mentors!$Q:$Q,MATCH($B6,Mentors!$A:$A,0)),"")</f>
        <v>One</v>
      </c>
      <c r="F6" s="22" t="str">
        <f aca="false">IFERROR(INDEX(Mentors!$P:$P,MATCH($B6,Mentors!$A:$A,0)),"")</f>
        <v>Health &amp; Bio, Cross-sector</v>
      </c>
      <c r="G6" s="17" t="str">
        <f aca="false">IFERROR(INDEX(Mentors!$T:$T,MATCH($B6,Mentors!$A:$A,0)),"")</f>
        <v>Spain</v>
      </c>
      <c r="H6" s="23"/>
      <c r="I6" s="23"/>
    </row>
    <row r="7" customFormat="false" ht="22.35" hidden="false" customHeight="false" outlineLevel="0" collapsed="false">
      <c r="A7" s="20" t="n">
        <v>2</v>
      </c>
      <c r="B7" s="21" t="s">
        <v>75</v>
      </c>
      <c r="C7" s="22" t="s">
        <v>148</v>
      </c>
      <c r="D7" s="17" t="str">
        <f aca="false">IFERROR(INDEX(Mentors!$B:$B,MATCH($B7,Mentors!$A:$A,0)),"")</f>
        <v>In</v>
      </c>
      <c r="E7" s="11" t="str">
        <f aca="false">IFERROR(INDEX(Mentors!$Q:$Q,MATCH($B7,Mentors!$A:$A,0)),"")</f>
        <v>More</v>
      </c>
      <c r="F7" s="22" t="str">
        <f aca="false">IFERROR(INDEX(Mentors!$P:$P,MATCH($B7,Mentors!$A:$A,0)),"")</f>
        <v>Energy, Climate &amp; Sustainability, Health &amp; Bio</v>
      </c>
      <c r="G7" s="17" t="str">
        <f aca="false">IFERROR(INDEX(Mentors!$T:$T,MATCH($B7,Mentors!$A:$A,0)),"")</f>
        <v>Finland</v>
      </c>
      <c r="H7" s="23"/>
      <c r="I7" s="23"/>
    </row>
    <row r="8" customFormat="false" ht="22.35" hidden="false" customHeight="false" outlineLevel="0" collapsed="false">
      <c r="A8" s="20" t="n">
        <v>3</v>
      </c>
      <c r="B8" s="21" t="s">
        <v>105</v>
      </c>
      <c r="C8" s="22" t="s">
        <v>161</v>
      </c>
      <c r="D8" s="17" t="str">
        <f aca="false">IFERROR(INDEX(Mentors!$B:$B,MATCH($B8,Mentors!$A:$A,0)),"")</f>
        <v>Maybe</v>
      </c>
      <c r="E8" s="11" t="str">
        <f aca="false">IFERROR(INDEX(Mentors!$Q:$Q,MATCH($B8,Mentors!$A:$A,0)),"")</f>
        <v>One</v>
      </c>
      <c r="F8" s="22" t="str">
        <f aca="false">IFERROR(INDEX(Mentors!$P:$P,MATCH($B8,Mentors!$A:$A,0)),"")</f>
        <v>Energy, Climate &amp; Sustainability, Health &amp; Bio</v>
      </c>
      <c r="G8" s="17" t="str">
        <f aca="false">IFERROR(INDEX(Mentors!$T:$T,MATCH($B8,Mentors!$A:$A,0)),"")</f>
        <v>Sweden</v>
      </c>
      <c r="H8" s="23"/>
      <c r="I8" s="23"/>
    </row>
    <row r="10" customFormat="false" ht="15" hidden="false" customHeight="false" outlineLevel="0" collapsed="false">
      <c r="A10" s="4" t="s">
        <v>131</v>
      </c>
      <c r="B10" s="24" t="s">
        <v>132</v>
      </c>
    </row>
    <row r="11" customFormat="false" ht="15" hidden="false" customHeight="false" outlineLevel="0" collapsed="false">
      <c r="A11" s="25" t="s">
        <v>116</v>
      </c>
      <c r="B11" s="26" t="s">
        <v>113</v>
      </c>
      <c r="C11" s="27" t="s">
        <v>133</v>
      </c>
      <c r="D11" s="28" t="str">
        <f aca="false">IFERROR(INDEX(Mentors!$B:$B,MATCH($B11,Mentors!$A:$A,0)),"")</f>
        <v>Ad-hoc</v>
      </c>
      <c r="E11" s="28" t="str">
        <f aca="false">IFERROR(INDEX(Mentors!$Q:$Q,MATCH($B11,Mentors!$A:$A,0)),"")</f>
        <v>One</v>
      </c>
      <c r="F11" s="28" t="str">
        <f aca="false">IFERROR(INDEX(Mentors!$P:$P,MATCH($B11,Mentors!$A:$A,0)),"")</f>
        <v>AI/ML &amp; Data</v>
      </c>
      <c r="G11" s="28" t="str">
        <f aca="false">IFERROR(INDEX(Mentors!$T:$T,MATCH($B11,Mentors!$A:$A,0)),"")</f>
        <v>Abroad</v>
      </c>
      <c r="H11" s="29"/>
      <c r="I11" s="29"/>
    </row>
    <row r="12" customFormat="false" ht="15" hidden="false" customHeight="false" outlineLevel="0" collapsed="false">
      <c r="A12" s="29"/>
      <c r="B12" s="23"/>
      <c r="C12" s="23"/>
      <c r="D12" s="17" t="str">
        <f aca="false">IFERROR(INDEX(Mentors!$B:$B,MATCH($B12,Mentors!$A:$A,0)),"")</f>
        <v/>
      </c>
      <c r="E12" s="11" t="str">
        <f aca="false">IFERROR(INDEX(Mentors!$Q:$Q,MATCH($B12,Mentors!$A:$A,0)),"")</f>
        <v/>
      </c>
      <c r="F12" s="22" t="str">
        <f aca="false">IFERROR(INDEX(Mentors!$P:$P,MATCH($B12,Mentors!$A:$A,0)),"")</f>
        <v/>
      </c>
      <c r="G12" s="17" t="str">
        <f aca="false">IFERROR(INDEX(Mentors!$T:$T,MATCH($B12,Mentors!$A:$A,0)),"")</f>
        <v/>
      </c>
      <c r="H12" s="23"/>
      <c r="I12" s="23"/>
    </row>
    <row r="13" customFormat="false" ht="15" hidden="false" customHeight="false" outlineLevel="0" collapsed="false">
      <c r="A13" s="29"/>
      <c r="B13" s="23"/>
      <c r="C13" s="23"/>
      <c r="D13" s="17" t="str">
        <f aca="false">IFERROR(INDEX(Mentors!$B:$B,MATCH($B13,Mentors!$A:$A,0)),"")</f>
        <v/>
      </c>
      <c r="E13" s="11" t="str">
        <f aca="false">IFERROR(INDEX(Mentors!$Q:$Q,MATCH($B13,Mentors!$A:$A,0)),"")</f>
        <v/>
      </c>
      <c r="F13" s="22" t="str">
        <f aca="false">IFERROR(INDEX(Mentors!$P:$P,MATCH($B13,Mentors!$A:$A,0)),"")</f>
        <v/>
      </c>
      <c r="G13" s="17" t="str">
        <f aca="false">IFERROR(INDEX(Mentors!$T:$T,MATCH($B13,Mentors!$A:$A,0)),"")</f>
        <v/>
      </c>
      <c r="H13" s="23"/>
      <c r="I13" s="23"/>
    </row>
    <row r="14" customFormat="false" ht="15" hidden="false" customHeight="false" outlineLevel="0" collapsed="false">
      <c r="A14" s="29"/>
      <c r="B14" s="23"/>
      <c r="C14" s="23"/>
      <c r="D14" s="17" t="str">
        <f aca="false">IFERROR(INDEX(Mentors!$B:$B,MATCH($B14,Mentors!$A:$A,0)),"")</f>
        <v/>
      </c>
      <c r="E14" s="11" t="str">
        <f aca="false">IFERROR(INDEX(Mentors!$Q:$Q,MATCH($B14,Mentors!$A:$A,0)),"")</f>
        <v/>
      </c>
      <c r="F14" s="22" t="str">
        <f aca="false">IFERROR(INDEX(Mentors!$P:$P,MATCH($B14,Mentors!$A:$A,0)),"")</f>
        <v/>
      </c>
      <c r="G14" s="17" t="str">
        <f aca="false">IFERROR(INDEX(Mentors!$T:$T,MATCH($B14,Mentors!$A:$A,0)),"")</f>
        <v/>
      </c>
      <c r="H14" s="23"/>
      <c r="I14" s="23"/>
    </row>
    <row r="15" customFormat="false" ht="15" hidden="false" customHeight="false" outlineLevel="0" collapsed="false">
      <c r="A15" s="29"/>
      <c r="B15" s="23"/>
      <c r="C15" s="23"/>
      <c r="D15" s="17" t="str">
        <f aca="false">IFERROR(INDEX(Mentors!$B:$B,MATCH($B15,Mentors!$A:$A,0)),"")</f>
        <v/>
      </c>
      <c r="E15" s="11" t="str">
        <f aca="false">IFERROR(INDEX(Mentors!$Q:$Q,MATCH($B15,Mentors!$A:$A,0)),"")</f>
        <v/>
      </c>
      <c r="F15" s="22" t="str">
        <f aca="false">IFERROR(INDEX(Mentors!$P:$P,MATCH($B15,Mentors!$A:$A,0)),"")</f>
        <v/>
      </c>
      <c r="G15" s="17" t="str">
        <f aca="false">IFERROR(INDEX(Mentors!$T:$T,MATCH($B15,Mentors!$A:$A,0)),"")</f>
        <v/>
      </c>
      <c r="H15" s="23"/>
      <c r="I15" s="23"/>
    </row>
    <row r="16" customFormat="false" ht="15" hidden="false" customHeight="false" outlineLevel="0" collapsed="false">
      <c r="A16" s="29"/>
      <c r="B16" s="23"/>
      <c r="C16" s="23"/>
      <c r="D16" s="17" t="str">
        <f aca="false">IFERROR(INDEX(Mentors!$B:$B,MATCH($B16,Mentors!$A:$A,0)),"")</f>
        <v/>
      </c>
      <c r="E16" s="11" t="str">
        <f aca="false">IFERROR(INDEX(Mentors!$Q:$Q,MATCH($B16,Mentors!$A:$A,0)),"")</f>
        <v/>
      </c>
      <c r="F16" s="22" t="str">
        <f aca="false">IFERROR(INDEX(Mentors!$P:$P,MATCH($B16,Mentors!$A:$A,0)),"")</f>
        <v/>
      </c>
      <c r="G16" s="17" t="str">
        <f aca="false">IFERROR(INDEX(Mentors!$T:$T,MATCH($B16,Mentors!$A:$A,0)),"")</f>
        <v/>
      </c>
      <c r="H16" s="23"/>
      <c r="I16" s="23"/>
    </row>
  </sheetData>
  <dataValidations count="1">
    <dataValidation allowBlank="true" errorStyle="stop" operator="between" showDropDown="false" showErrorMessage="false" showInputMessage="false" sqref="H6:H16" type="list">
      <formula1>"Assigned,Backup,No"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6"/>
  </cols>
  <sheetData>
    <row r="1" customFormat="false" ht="19.7" hidden="false" customHeight="false" outlineLevel="0" collapsed="false">
      <c r="A1" s="6" t="s">
        <v>162</v>
      </c>
    </row>
    <row r="2" customFormat="false" ht="15" hidden="false" customHeight="false" outlineLevel="0" collapsed="false">
      <c r="A2" s="18" t="s">
        <v>163</v>
      </c>
    </row>
    <row r="3" customFormat="false" ht="15" hidden="false" customHeight="false" outlineLevel="0" collapsed="false">
      <c r="A3" s="4" t="s">
        <v>121</v>
      </c>
      <c r="B3" s="19" t="s">
        <v>164</v>
      </c>
    </row>
    <row r="5" customFormat="false" ht="15" hidden="false" customHeight="false" outlineLevel="0" collapsed="false">
      <c r="A5" s="8" t="s">
        <v>123</v>
      </c>
      <c r="B5" s="8" t="s">
        <v>124</v>
      </c>
      <c r="C5" s="8" t="s">
        <v>125</v>
      </c>
      <c r="D5" s="8" t="s">
        <v>16</v>
      </c>
      <c r="E5" s="8" t="s">
        <v>31</v>
      </c>
      <c r="F5" s="8" t="s">
        <v>126</v>
      </c>
      <c r="G5" s="8" t="s">
        <v>34</v>
      </c>
      <c r="H5" s="8" t="s">
        <v>127</v>
      </c>
      <c r="I5" s="8" t="s">
        <v>38</v>
      </c>
    </row>
    <row r="6" customFormat="false" ht="22.35" hidden="false" customHeight="false" outlineLevel="0" collapsed="false">
      <c r="A6" s="20" t="n">
        <v>1</v>
      </c>
      <c r="B6" s="21" t="s">
        <v>78</v>
      </c>
      <c r="C6" s="22" t="s">
        <v>165</v>
      </c>
      <c r="D6" s="17" t="str">
        <f aca="false">IFERROR(INDEX(Mentors!$B:$B,MATCH($B6,Mentors!$A:$A,0)),"")</f>
        <v>In</v>
      </c>
      <c r="E6" s="11" t="str">
        <f aca="false">IFERROR(INDEX(Mentors!$Q:$Q,MATCH($B6,Mentors!$A:$A,0)),"")</f>
        <v>One</v>
      </c>
      <c r="F6" s="22" t="str">
        <f aca="false">IFERROR(INDEX(Mentors!$P:$P,MATCH($B6,Mentors!$A:$A,0)),"")</f>
        <v>AI/ML &amp; Data, Software / Cloud / Telecom</v>
      </c>
      <c r="G6" s="17" t="str">
        <f aca="false">IFERROR(INDEX(Mentors!$T:$T,MATCH($B6,Mentors!$A:$A,0)),"")</f>
        <v>Spain</v>
      </c>
      <c r="H6" s="23"/>
      <c r="I6" s="23"/>
    </row>
    <row r="7" customFormat="false" ht="15" hidden="false" customHeight="false" outlineLevel="0" collapsed="false">
      <c r="A7" s="20" t="n">
        <v>2</v>
      </c>
      <c r="B7" s="21" t="s">
        <v>90</v>
      </c>
      <c r="C7" s="22" t="s">
        <v>166</v>
      </c>
      <c r="D7" s="17" t="str">
        <f aca="false">IFERROR(INDEX(Mentors!$B:$B,MATCH($B7,Mentors!$A:$A,0)),"")</f>
        <v>Maybe</v>
      </c>
      <c r="E7" s="11" t="str">
        <f aca="false">IFERROR(INDEX(Mentors!$Q:$Q,MATCH($B7,Mentors!$A:$A,0)),"")</f>
        <v>Two</v>
      </c>
      <c r="F7" s="22" t="str">
        <f aca="false">IFERROR(INDEX(Mentors!$P:$P,MATCH($B7,Mentors!$A:$A,0)),"")</f>
        <v>AI/ML &amp; Data, Cross-sector</v>
      </c>
      <c r="G7" s="17" t="str">
        <f aca="false">IFERROR(INDEX(Mentors!$T:$T,MATCH($B7,Mentors!$A:$A,0)),"")</f>
        <v>USA</v>
      </c>
      <c r="H7" s="23"/>
      <c r="I7" s="23"/>
    </row>
    <row r="8" customFormat="false" ht="15" hidden="false" customHeight="false" outlineLevel="0" collapsed="false">
      <c r="A8" s="20" t="n">
        <v>3</v>
      </c>
      <c r="B8" s="21" t="s">
        <v>99</v>
      </c>
      <c r="C8" s="22" t="s">
        <v>167</v>
      </c>
      <c r="D8" s="17" t="str">
        <f aca="false">IFERROR(INDEX(Mentors!$B:$B,MATCH($B8,Mentors!$A:$A,0)),"")</f>
        <v>In</v>
      </c>
      <c r="E8" s="11" t="str">
        <f aca="false">IFERROR(INDEX(Mentors!$Q:$Q,MATCH($B8,Mentors!$A:$A,0)),"")</f>
        <v>Two</v>
      </c>
      <c r="F8" s="22" t="str">
        <f aca="false">IFERROR(INDEX(Mentors!$P:$P,MATCH($B8,Mentors!$A:$A,0)),"")</f>
        <v>Cross-sector</v>
      </c>
      <c r="G8" s="17" t="str">
        <f aca="false">IFERROR(INDEX(Mentors!$T:$T,MATCH($B8,Mentors!$A:$A,0)),"")</f>
        <v>Finland</v>
      </c>
      <c r="H8" s="23"/>
      <c r="I8" s="23"/>
    </row>
    <row r="10" customFormat="false" ht="15" hidden="false" customHeight="false" outlineLevel="0" collapsed="false">
      <c r="A10" s="4" t="s">
        <v>131</v>
      </c>
      <c r="B10" s="24" t="s">
        <v>132</v>
      </c>
    </row>
    <row r="11" customFormat="false" ht="15" hidden="false" customHeight="false" outlineLevel="0" collapsed="false">
      <c r="A11" s="25" t="s">
        <v>116</v>
      </c>
      <c r="B11" s="26" t="s">
        <v>113</v>
      </c>
      <c r="C11" s="27" t="s">
        <v>133</v>
      </c>
      <c r="D11" s="28" t="str">
        <f aca="false">IFERROR(INDEX(Mentors!$B:$B,MATCH($B11,Mentors!$A:$A,0)),"")</f>
        <v>Ad-hoc</v>
      </c>
      <c r="E11" s="28" t="str">
        <f aca="false">IFERROR(INDEX(Mentors!$Q:$Q,MATCH($B11,Mentors!$A:$A,0)),"")</f>
        <v>One</v>
      </c>
      <c r="F11" s="28" t="str">
        <f aca="false">IFERROR(INDEX(Mentors!$P:$P,MATCH($B11,Mentors!$A:$A,0)),"")</f>
        <v>AI/ML &amp; Data</v>
      </c>
      <c r="G11" s="28" t="str">
        <f aca="false">IFERROR(INDEX(Mentors!$T:$T,MATCH($B11,Mentors!$A:$A,0)),"")</f>
        <v>Abroad</v>
      </c>
      <c r="H11" s="29"/>
      <c r="I11" s="29"/>
    </row>
    <row r="12" customFormat="false" ht="15" hidden="false" customHeight="false" outlineLevel="0" collapsed="false">
      <c r="A12" s="29"/>
      <c r="B12" s="23"/>
      <c r="C12" s="23"/>
      <c r="D12" s="17" t="str">
        <f aca="false">IFERROR(INDEX(Mentors!$B:$B,MATCH($B12,Mentors!$A:$A,0)),"")</f>
        <v/>
      </c>
      <c r="E12" s="11" t="str">
        <f aca="false">IFERROR(INDEX(Mentors!$Q:$Q,MATCH($B12,Mentors!$A:$A,0)),"")</f>
        <v/>
      </c>
      <c r="F12" s="22" t="str">
        <f aca="false">IFERROR(INDEX(Mentors!$P:$P,MATCH($B12,Mentors!$A:$A,0)),"")</f>
        <v/>
      </c>
      <c r="G12" s="17" t="str">
        <f aca="false">IFERROR(INDEX(Mentors!$T:$T,MATCH($B12,Mentors!$A:$A,0)),"")</f>
        <v/>
      </c>
      <c r="H12" s="23"/>
      <c r="I12" s="23"/>
    </row>
    <row r="13" customFormat="false" ht="15" hidden="false" customHeight="false" outlineLevel="0" collapsed="false">
      <c r="A13" s="29"/>
      <c r="B13" s="23"/>
      <c r="C13" s="23"/>
      <c r="D13" s="17" t="str">
        <f aca="false">IFERROR(INDEX(Mentors!$B:$B,MATCH($B13,Mentors!$A:$A,0)),"")</f>
        <v/>
      </c>
      <c r="E13" s="11" t="str">
        <f aca="false">IFERROR(INDEX(Mentors!$Q:$Q,MATCH($B13,Mentors!$A:$A,0)),"")</f>
        <v/>
      </c>
      <c r="F13" s="22" t="str">
        <f aca="false">IFERROR(INDEX(Mentors!$P:$P,MATCH($B13,Mentors!$A:$A,0)),"")</f>
        <v/>
      </c>
      <c r="G13" s="17" t="str">
        <f aca="false">IFERROR(INDEX(Mentors!$T:$T,MATCH($B13,Mentors!$A:$A,0)),"")</f>
        <v/>
      </c>
      <c r="H13" s="23"/>
      <c r="I13" s="23"/>
    </row>
    <row r="14" customFormat="false" ht="15" hidden="false" customHeight="false" outlineLevel="0" collapsed="false">
      <c r="A14" s="29"/>
      <c r="B14" s="23"/>
      <c r="C14" s="23"/>
      <c r="D14" s="17" t="str">
        <f aca="false">IFERROR(INDEX(Mentors!$B:$B,MATCH($B14,Mentors!$A:$A,0)),"")</f>
        <v/>
      </c>
      <c r="E14" s="11" t="str">
        <f aca="false">IFERROR(INDEX(Mentors!$Q:$Q,MATCH($B14,Mentors!$A:$A,0)),"")</f>
        <v/>
      </c>
      <c r="F14" s="22" t="str">
        <f aca="false">IFERROR(INDEX(Mentors!$P:$P,MATCH($B14,Mentors!$A:$A,0)),"")</f>
        <v/>
      </c>
      <c r="G14" s="17" t="str">
        <f aca="false">IFERROR(INDEX(Mentors!$T:$T,MATCH($B14,Mentors!$A:$A,0)),"")</f>
        <v/>
      </c>
      <c r="H14" s="23"/>
      <c r="I14" s="23"/>
    </row>
    <row r="15" customFormat="false" ht="15" hidden="false" customHeight="false" outlineLevel="0" collapsed="false">
      <c r="A15" s="29"/>
      <c r="B15" s="23"/>
      <c r="C15" s="23"/>
      <c r="D15" s="17" t="str">
        <f aca="false">IFERROR(INDEX(Mentors!$B:$B,MATCH($B15,Mentors!$A:$A,0)),"")</f>
        <v/>
      </c>
      <c r="E15" s="11" t="str">
        <f aca="false">IFERROR(INDEX(Mentors!$Q:$Q,MATCH($B15,Mentors!$A:$A,0)),"")</f>
        <v/>
      </c>
      <c r="F15" s="22" t="str">
        <f aca="false">IFERROR(INDEX(Mentors!$P:$P,MATCH($B15,Mentors!$A:$A,0)),"")</f>
        <v/>
      </c>
      <c r="G15" s="17" t="str">
        <f aca="false">IFERROR(INDEX(Mentors!$T:$T,MATCH($B15,Mentors!$A:$A,0)),"")</f>
        <v/>
      </c>
      <c r="H15" s="23"/>
      <c r="I15" s="23"/>
    </row>
    <row r="16" customFormat="false" ht="15" hidden="false" customHeight="false" outlineLevel="0" collapsed="false">
      <c r="A16" s="29"/>
      <c r="B16" s="23"/>
      <c r="C16" s="23"/>
      <c r="D16" s="17" t="str">
        <f aca="false">IFERROR(INDEX(Mentors!$B:$B,MATCH($B16,Mentors!$A:$A,0)),"")</f>
        <v/>
      </c>
      <c r="E16" s="11" t="str">
        <f aca="false">IFERROR(INDEX(Mentors!$Q:$Q,MATCH($B16,Mentors!$A:$A,0)),"")</f>
        <v/>
      </c>
      <c r="F16" s="22" t="str">
        <f aca="false">IFERROR(INDEX(Mentors!$P:$P,MATCH($B16,Mentors!$A:$A,0)),"")</f>
        <v/>
      </c>
      <c r="G16" s="17" t="str">
        <f aca="false">IFERROR(INDEX(Mentors!$T:$T,MATCH($B16,Mentors!$A:$A,0)),"")</f>
        <v/>
      </c>
      <c r="H16" s="23"/>
      <c r="I16" s="23"/>
    </row>
  </sheetData>
  <dataValidations count="1">
    <dataValidation allowBlank="true" errorStyle="stop" operator="between" showDropDown="false" showErrorMessage="false" showInputMessage="false" sqref="H6:H16" type="list">
      <formula1>"Assigned,Backup,No"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6"/>
  </cols>
  <sheetData>
    <row r="1" customFormat="false" ht="19.7" hidden="false" customHeight="false" outlineLevel="0" collapsed="false">
      <c r="A1" s="6" t="s">
        <v>168</v>
      </c>
    </row>
    <row r="2" customFormat="false" ht="15" hidden="false" customHeight="false" outlineLevel="0" collapsed="false">
      <c r="A2" s="18" t="s">
        <v>169</v>
      </c>
    </row>
    <row r="3" customFormat="false" ht="15" hidden="false" customHeight="false" outlineLevel="0" collapsed="false">
      <c r="A3" s="4" t="s">
        <v>121</v>
      </c>
      <c r="B3" s="19" t="s">
        <v>170</v>
      </c>
    </row>
    <row r="5" customFormat="false" ht="15" hidden="false" customHeight="false" outlineLevel="0" collapsed="false">
      <c r="A5" s="8" t="s">
        <v>123</v>
      </c>
      <c r="B5" s="8" t="s">
        <v>124</v>
      </c>
      <c r="C5" s="8" t="s">
        <v>125</v>
      </c>
      <c r="D5" s="8" t="s">
        <v>16</v>
      </c>
      <c r="E5" s="8" t="s">
        <v>31</v>
      </c>
      <c r="F5" s="8" t="s">
        <v>126</v>
      </c>
      <c r="G5" s="8" t="s">
        <v>34</v>
      </c>
      <c r="H5" s="8" t="s">
        <v>127</v>
      </c>
      <c r="I5" s="8" t="s">
        <v>38</v>
      </c>
    </row>
    <row r="6" customFormat="false" ht="22.35" hidden="false" customHeight="false" outlineLevel="0" collapsed="false">
      <c r="A6" s="20" t="n">
        <v>1</v>
      </c>
      <c r="B6" s="21" t="s">
        <v>78</v>
      </c>
      <c r="C6" s="22" t="s">
        <v>165</v>
      </c>
      <c r="D6" s="17" t="str">
        <f aca="false">IFERROR(INDEX(Mentors!$B:$B,MATCH($B6,Mentors!$A:$A,0)),"")</f>
        <v>In</v>
      </c>
      <c r="E6" s="11" t="str">
        <f aca="false">IFERROR(INDEX(Mentors!$Q:$Q,MATCH($B6,Mentors!$A:$A,0)),"")</f>
        <v>One</v>
      </c>
      <c r="F6" s="22" t="str">
        <f aca="false">IFERROR(INDEX(Mentors!$P:$P,MATCH($B6,Mentors!$A:$A,0)),"")</f>
        <v>AI/ML &amp; Data, Software / Cloud / Telecom</v>
      </c>
      <c r="G6" s="17" t="str">
        <f aca="false">IFERROR(INDEX(Mentors!$T:$T,MATCH($B6,Mentors!$A:$A,0)),"")</f>
        <v>Spain</v>
      </c>
      <c r="H6" s="23"/>
      <c r="I6" s="23"/>
    </row>
    <row r="7" customFormat="false" ht="15" hidden="false" customHeight="false" outlineLevel="0" collapsed="false">
      <c r="A7" s="20" t="n">
        <v>2</v>
      </c>
      <c r="B7" s="21" t="s">
        <v>83</v>
      </c>
      <c r="C7" s="22" t="s">
        <v>171</v>
      </c>
      <c r="D7" s="17" t="str">
        <f aca="false">IFERROR(INDEX(Mentors!$B:$B,MATCH($B7,Mentors!$A:$A,0)),"")</f>
        <v>In</v>
      </c>
      <c r="E7" s="11" t="str">
        <f aca="false">IFERROR(INDEX(Mentors!$Q:$Q,MATCH($B7,Mentors!$A:$A,0)),"")</f>
        <v>One</v>
      </c>
      <c r="F7" s="22" t="str">
        <f aca="false">IFERROR(INDEX(Mentors!$P:$P,MATCH($B7,Mentors!$A:$A,0)),"")</f>
        <v>Cross-sector</v>
      </c>
      <c r="G7" s="17" t="str">
        <f aca="false">IFERROR(INDEX(Mentors!$T:$T,MATCH($B7,Mentors!$A:$A,0)),"")</f>
        <v>Finland</v>
      </c>
      <c r="H7" s="23"/>
      <c r="I7" s="23"/>
    </row>
    <row r="8" customFormat="false" ht="15" hidden="false" customHeight="false" outlineLevel="0" collapsed="false">
      <c r="A8" s="20" t="n">
        <v>3</v>
      </c>
      <c r="B8" s="21" t="s">
        <v>95</v>
      </c>
      <c r="C8" s="22" t="s">
        <v>172</v>
      </c>
      <c r="D8" s="17" t="str">
        <f aca="false">IFERROR(INDEX(Mentors!$B:$B,MATCH($B8,Mentors!$A:$A,0)),"")</f>
        <v>In</v>
      </c>
      <c r="E8" s="11" t="str">
        <f aca="false">IFERROR(INDEX(Mentors!$Q:$Q,MATCH($B8,Mentors!$A:$A,0)),"")</f>
        <v>Two</v>
      </c>
      <c r="F8" s="22" t="str">
        <f aca="false">IFERROR(INDEX(Mentors!$P:$P,MATCH($B8,Mentors!$A:$A,0)),"")</f>
        <v>Cross-sector</v>
      </c>
      <c r="G8" s="17" t="str">
        <f aca="false">IFERROR(INDEX(Mentors!$T:$T,MATCH($B8,Mentors!$A:$A,0)),"")</f>
        <v>USA</v>
      </c>
      <c r="H8" s="23"/>
      <c r="I8" s="23"/>
    </row>
    <row r="10" customFormat="false" ht="15" hidden="false" customHeight="false" outlineLevel="0" collapsed="false">
      <c r="A10" s="4" t="s">
        <v>131</v>
      </c>
      <c r="B10" s="24" t="s">
        <v>132</v>
      </c>
    </row>
    <row r="11" customFormat="false" ht="15" hidden="false" customHeight="false" outlineLevel="0" collapsed="false">
      <c r="A11" s="25" t="s">
        <v>116</v>
      </c>
      <c r="B11" s="26" t="s">
        <v>113</v>
      </c>
      <c r="C11" s="27" t="s">
        <v>133</v>
      </c>
      <c r="D11" s="28" t="str">
        <f aca="false">IFERROR(INDEX(Mentors!$B:$B,MATCH($B11,Mentors!$A:$A,0)),"")</f>
        <v>Ad-hoc</v>
      </c>
      <c r="E11" s="28" t="str">
        <f aca="false">IFERROR(INDEX(Mentors!$Q:$Q,MATCH($B11,Mentors!$A:$A,0)),"")</f>
        <v>One</v>
      </c>
      <c r="F11" s="28" t="str">
        <f aca="false">IFERROR(INDEX(Mentors!$P:$P,MATCH($B11,Mentors!$A:$A,0)),"")</f>
        <v>AI/ML &amp; Data</v>
      </c>
      <c r="G11" s="28" t="str">
        <f aca="false">IFERROR(INDEX(Mentors!$T:$T,MATCH($B11,Mentors!$A:$A,0)),"")</f>
        <v>Abroad</v>
      </c>
      <c r="H11" s="29"/>
      <c r="I11" s="29"/>
    </row>
    <row r="12" customFormat="false" ht="15" hidden="false" customHeight="false" outlineLevel="0" collapsed="false">
      <c r="A12" s="29"/>
      <c r="B12" s="23"/>
      <c r="C12" s="23"/>
      <c r="D12" s="17" t="str">
        <f aca="false">IFERROR(INDEX(Mentors!$B:$B,MATCH($B12,Mentors!$A:$A,0)),"")</f>
        <v/>
      </c>
      <c r="E12" s="11" t="str">
        <f aca="false">IFERROR(INDEX(Mentors!$Q:$Q,MATCH($B12,Mentors!$A:$A,0)),"")</f>
        <v/>
      </c>
      <c r="F12" s="22" t="str">
        <f aca="false">IFERROR(INDEX(Mentors!$P:$P,MATCH($B12,Mentors!$A:$A,0)),"")</f>
        <v/>
      </c>
      <c r="G12" s="17" t="str">
        <f aca="false">IFERROR(INDEX(Mentors!$T:$T,MATCH($B12,Mentors!$A:$A,0)),"")</f>
        <v/>
      </c>
      <c r="H12" s="23"/>
      <c r="I12" s="23"/>
    </row>
    <row r="13" customFormat="false" ht="15" hidden="false" customHeight="false" outlineLevel="0" collapsed="false">
      <c r="A13" s="29"/>
      <c r="B13" s="23"/>
      <c r="C13" s="23"/>
      <c r="D13" s="17" t="str">
        <f aca="false">IFERROR(INDEX(Mentors!$B:$B,MATCH($B13,Mentors!$A:$A,0)),"")</f>
        <v/>
      </c>
      <c r="E13" s="11" t="str">
        <f aca="false">IFERROR(INDEX(Mentors!$Q:$Q,MATCH($B13,Mentors!$A:$A,0)),"")</f>
        <v/>
      </c>
      <c r="F13" s="22" t="str">
        <f aca="false">IFERROR(INDEX(Mentors!$P:$P,MATCH($B13,Mentors!$A:$A,0)),"")</f>
        <v/>
      </c>
      <c r="G13" s="17" t="str">
        <f aca="false">IFERROR(INDEX(Mentors!$T:$T,MATCH($B13,Mentors!$A:$A,0)),"")</f>
        <v/>
      </c>
      <c r="H13" s="23"/>
      <c r="I13" s="23"/>
    </row>
    <row r="14" customFormat="false" ht="15" hidden="false" customHeight="false" outlineLevel="0" collapsed="false">
      <c r="A14" s="29"/>
      <c r="B14" s="23"/>
      <c r="C14" s="23"/>
      <c r="D14" s="17" t="str">
        <f aca="false">IFERROR(INDEX(Mentors!$B:$B,MATCH($B14,Mentors!$A:$A,0)),"")</f>
        <v/>
      </c>
      <c r="E14" s="11" t="str">
        <f aca="false">IFERROR(INDEX(Mentors!$Q:$Q,MATCH($B14,Mentors!$A:$A,0)),"")</f>
        <v/>
      </c>
      <c r="F14" s="22" t="str">
        <f aca="false">IFERROR(INDEX(Mentors!$P:$P,MATCH($B14,Mentors!$A:$A,0)),"")</f>
        <v/>
      </c>
      <c r="G14" s="17" t="str">
        <f aca="false">IFERROR(INDEX(Mentors!$T:$T,MATCH($B14,Mentors!$A:$A,0)),"")</f>
        <v/>
      </c>
      <c r="H14" s="23"/>
      <c r="I14" s="23"/>
    </row>
    <row r="15" customFormat="false" ht="15" hidden="false" customHeight="false" outlineLevel="0" collapsed="false">
      <c r="A15" s="29"/>
      <c r="B15" s="23"/>
      <c r="C15" s="23"/>
      <c r="D15" s="17" t="str">
        <f aca="false">IFERROR(INDEX(Mentors!$B:$B,MATCH($B15,Mentors!$A:$A,0)),"")</f>
        <v/>
      </c>
      <c r="E15" s="11" t="str">
        <f aca="false">IFERROR(INDEX(Mentors!$Q:$Q,MATCH($B15,Mentors!$A:$A,0)),"")</f>
        <v/>
      </c>
      <c r="F15" s="22" t="str">
        <f aca="false">IFERROR(INDEX(Mentors!$P:$P,MATCH($B15,Mentors!$A:$A,0)),"")</f>
        <v/>
      </c>
      <c r="G15" s="17" t="str">
        <f aca="false">IFERROR(INDEX(Mentors!$T:$T,MATCH($B15,Mentors!$A:$A,0)),"")</f>
        <v/>
      </c>
      <c r="H15" s="23"/>
      <c r="I15" s="23"/>
    </row>
    <row r="16" customFormat="false" ht="15" hidden="false" customHeight="false" outlineLevel="0" collapsed="false">
      <c r="A16" s="29"/>
      <c r="B16" s="23"/>
      <c r="C16" s="23"/>
      <c r="D16" s="17" t="str">
        <f aca="false">IFERROR(INDEX(Mentors!$B:$B,MATCH($B16,Mentors!$A:$A,0)),"")</f>
        <v/>
      </c>
      <c r="E16" s="11" t="str">
        <f aca="false">IFERROR(INDEX(Mentors!$Q:$Q,MATCH($B16,Mentors!$A:$A,0)),"")</f>
        <v/>
      </c>
      <c r="F16" s="22" t="str">
        <f aca="false">IFERROR(INDEX(Mentors!$P:$P,MATCH($B16,Mentors!$A:$A,0)),"")</f>
        <v/>
      </c>
      <c r="G16" s="17" t="str">
        <f aca="false">IFERROR(INDEX(Mentors!$T:$T,MATCH($B16,Mentors!$A:$A,0)),"")</f>
        <v/>
      </c>
      <c r="H16" s="23"/>
      <c r="I16" s="23"/>
    </row>
  </sheetData>
  <dataValidations count="1">
    <dataValidation allowBlank="true" errorStyle="stop" operator="between" showDropDown="false" showErrorMessage="false" showInputMessage="false" sqref="H6:H16" type="list">
      <formula1>"Assigned,Backup,No"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6"/>
  </cols>
  <sheetData>
    <row r="1" customFormat="false" ht="19.7" hidden="false" customHeight="false" outlineLevel="0" collapsed="false">
      <c r="A1" s="6" t="s">
        <v>173</v>
      </c>
    </row>
    <row r="2" customFormat="false" ht="15" hidden="false" customHeight="false" outlineLevel="0" collapsed="false">
      <c r="A2" s="18" t="s">
        <v>174</v>
      </c>
    </row>
    <row r="3" customFormat="false" ht="15" hidden="false" customHeight="false" outlineLevel="0" collapsed="false">
      <c r="A3" s="4" t="s">
        <v>121</v>
      </c>
      <c r="B3" s="19" t="s">
        <v>175</v>
      </c>
    </row>
    <row r="5" customFormat="false" ht="15" hidden="false" customHeight="false" outlineLevel="0" collapsed="false">
      <c r="A5" s="8" t="s">
        <v>123</v>
      </c>
      <c r="B5" s="8" t="s">
        <v>124</v>
      </c>
      <c r="C5" s="8" t="s">
        <v>125</v>
      </c>
      <c r="D5" s="8" t="s">
        <v>16</v>
      </c>
      <c r="E5" s="8" t="s">
        <v>31</v>
      </c>
      <c r="F5" s="8" t="s">
        <v>126</v>
      </c>
      <c r="G5" s="8" t="s">
        <v>34</v>
      </c>
      <c r="H5" s="8" t="s">
        <v>127</v>
      </c>
      <c r="I5" s="8" t="s">
        <v>38</v>
      </c>
    </row>
    <row r="6" customFormat="false" ht="15" hidden="false" customHeight="false" outlineLevel="0" collapsed="false">
      <c r="A6" s="20" t="n">
        <v>1</v>
      </c>
      <c r="B6" s="21" t="s">
        <v>107</v>
      </c>
      <c r="C6" s="22" t="s">
        <v>176</v>
      </c>
      <c r="D6" s="17" t="str">
        <f aca="false">IFERROR(INDEX(Mentors!$B:$B,MATCH($B6,Mentors!$A:$A,0)),"")</f>
        <v>In</v>
      </c>
      <c r="E6" s="11" t="str">
        <f aca="false">IFERROR(INDEX(Mentors!$Q:$Q,MATCH($B6,Mentors!$A:$A,0)),"")</f>
        <v>One</v>
      </c>
      <c r="F6" s="22" t="str">
        <f aca="false">IFERROR(INDEX(Mentors!$P:$P,MATCH($B6,Mentors!$A:$A,0)),"")</f>
        <v>AI/ML &amp; Data</v>
      </c>
      <c r="G6" s="17" t="str">
        <f aca="false">IFERROR(INDEX(Mentors!$T:$T,MATCH($B6,Mentors!$A:$A,0)),"")</f>
        <v>Finland</v>
      </c>
      <c r="H6" s="23"/>
      <c r="I6" s="23"/>
    </row>
    <row r="7" customFormat="false" ht="22.35" hidden="false" customHeight="false" outlineLevel="0" collapsed="false">
      <c r="A7" s="20" t="n">
        <v>2</v>
      </c>
      <c r="B7" s="21" t="s">
        <v>85</v>
      </c>
      <c r="C7" s="22" t="s">
        <v>177</v>
      </c>
      <c r="D7" s="17" t="str">
        <f aca="false">IFERROR(INDEX(Mentors!$B:$B,MATCH($B7,Mentors!$A:$A,0)),"")</f>
        <v>In</v>
      </c>
      <c r="E7" s="11" t="str">
        <f aca="false">IFERROR(INDEX(Mentors!$Q:$Q,MATCH($B7,Mentors!$A:$A,0)),"")</f>
        <v>One</v>
      </c>
      <c r="F7" s="22" t="str">
        <f aca="false">IFERROR(INDEX(Mentors!$P:$P,MATCH($B7,Mentors!$A:$A,0)),"")</f>
        <v>AI/ML &amp; Data, Software / Cloud / Telecom</v>
      </c>
      <c r="G7" s="17" t="str">
        <f aca="false">IFERROR(INDEX(Mentors!$T:$T,MATCH($B7,Mentors!$A:$A,0)),"")</f>
        <v>Switzerland</v>
      </c>
      <c r="H7" s="23"/>
      <c r="I7" s="23"/>
    </row>
    <row r="8" customFormat="false" ht="22.35" hidden="false" customHeight="false" outlineLevel="0" collapsed="false">
      <c r="A8" s="20" t="n">
        <v>3</v>
      </c>
      <c r="B8" s="21" t="s">
        <v>67</v>
      </c>
      <c r="C8" s="22" t="s">
        <v>178</v>
      </c>
      <c r="D8" s="17" t="str">
        <f aca="false">IFERROR(INDEX(Mentors!$B:$B,MATCH($B8,Mentors!$A:$A,0)),"")</f>
        <v>In</v>
      </c>
      <c r="E8" s="11" t="str">
        <f aca="false">IFERROR(INDEX(Mentors!$Q:$Q,MATCH($B8,Mentors!$A:$A,0)),"")</f>
        <v>Two</v>
      </c>
      <c r="F8" s="22" t="str">
        <f aca="false">IFERROR(INDEX(Mentors!$P:$P,MATCH($B8,Mentors!$A:$A,0)),"")</f>
        <v>Software / Cloud / Telecom, Defence &amp; Dual-use</v>
      </c>
      <c r="G8" s="17" t="str">
        <f aca="false">IFERROR(INDEX(Mentors!$T:$T,MATCH($B8,Mentors!$A:$A,0)),"")</f>
        <v>Finland</v>
      </c>
      <c r="H8" s="23"/>
      <c r="I8" s="23"/>
    </row>
    <row r="10" customFormat="false" ht="15" hidden="false" customHeight="false" outlineLevel="0" collapsed="false">
      <c r="A10" s="4" t="s">
        <v>131</v>
      </c>
      <c r="B10" s="24" t="s">
        <v>132</v>
      </c>
    </row>
    <row r="11" customFormat="false" ht="15" hidden="false" customHeight="false" outlineLevel="0" collapsed="false">
      <c r="A11" s="25" t="s">
        <v>116</v>
      </c>
      <c r="B11" s="26" t="s">
        <v>113</v>
      </c>
      <c r="C11" s="27" t="s">
        <v>133</v>
      </c>
      <c r="D11" s="28" t="str">
        <f aca="false">IFERROR(INDEX(Mentors!$B:$B,MATCH($B11,Mentors!$A:$A,0)),"")</f>
        <v>Ad-hoc</v>
      </c>
      <c r="E11" s="28" t="str">
        <f aca="false">IFERROR(INDEX(Mentors!$Q:$Q,MATCH($B11,Mentors!$A:$A,0)),"")</f>
        <v>One</v>
      </c>
      <c r="F11" s="28" t="str">
        <f aca="false">IFERROR(INDEX(Mentors!$P:$P,MATCH($B11,Mentors!$A:$A,0)),"")</f>
        <v>AI/ML &amp; Data</v>
      </c>
      <c r="G11" s="28" t="str">
        <f aca="false">IFERROR(INDEX(Mentors!$T:$T,MATCH($B11,Mentors!$A:$A,0)),"")</f>
        <v>Abroad</v>
      </c>
      <c r="H11" s="29"/>
      <c r="I11" s="29"/>
    </row>
    <row r="12" customFormat="false" ht="15" hidden="false" customHeight="false" outlineLevel="0" collapsed="false">
      <c r="A12" s="29"/>
      <c r="B12" s="23"/>
      <c r="C12" s="23"/>
      <c r="D12" s="17" t="str">
        <f aca="false">IFERROR(INDEX(Mentors!$B:$B,MATCH($B12,Mentors!$A:$A,0)),"")</f>
        <v/>
      </c>
      <c r="E12" s="11" t="str">
        <f aca="false">IFERROR(INDEX(Mentors!$Q:$Q,MATCH($B12,Mentors!$A:$A,0)),"")</f>
        <v/>
      </c>
      <c r="F12" s="22" t="str">
        <f aca="false">IFERROR(INDEX(Mentors!$P:$P,MATCH($B12,Mentors!$A:$A,0)),"")</f>
        <v/>
      </c>
      <c r="G12" s="17" t="str">
        <f aca="false">IFERROR(INDEX(Mentors!$T:$T,MATCH($B12,Mentors!$A:$A,0)),"")</f>
        <v/>
      </c>
      <c r="H12" s="23"/>
      <c r="I12" s="23"/>
    </row>
    <row r="13" customFormat="false" ht="15" hidden="false" customHeight="false" outlineLevel="0" collapsed="false">
      <c r="A13" s="29"/>
      <c r="B13" s="23"/>
      <c r="C13" s="23"/>
      <c r="D13" s="17" t="str">
        <f aca="false">IFERROR(INDEX(Mentors!$B:$B,MATCH($B13,Mentors!$A:$A,0)),"")</f>
        <v/>
      </c>
      <c r="E13" s="11" t="str">
        <f aca="false">IFERROR(INDEX(Mentors!$Q:$Q,MATCH($B13,Mentors!$A:$A,0)),"")</f>
        <v/>
      </c>
      <c r="F13" s="22" t="str">
        <f aca="false">IFERROR(INDEX(Mentors!$P:$P,MATCH($B13,Mentors!$A:$A,0)),"")</f>
        <v/>
      </c>
      <c r="G13" s="17" t="str">
        <f aca="false">IFERROR(INDEX(Mentors!$T:$T,MATCH($B13,Mentors!$A:$A,0)),"")</f>
        <v/>
      </c>
      <c r="H13" s="23"/>
      <c r="I13" s="23"/>
    </row>
    <row r="14" customFormat="false" ht="15" hidden="false" customHeight="false" outlineLevel="0" collapsed="false">
      <c r="A14" s="29"/>
      <c r="B14" s="23"/>
      <c r="C14" s="23"/>
      <c r="D14" s="17" t="str">
        <f aca="false">IFERROR(INDEX(Mentors!$B:$B,MATCH($B14,Mentors!$A:$A,0)),"")</f>
        <v/>
      </c>
      <c r="E14" s="11" t="str">
        <f aca="false">IFERROR(INDEX(Mentors!$Q:$Q,MATCH($B14,Mentors!$A:$A,0)),"")</f>
        <v/>
      </c>
      <c r="F14" s="22" t="str">
        <f aca="false">IFERROR(INDEX(Mentors!$P:$P,MATCH($B14,Mentors!$A:$A,0)),"")</f>
        <v/>
      </c>
      <c r="G14" s="17" t="str">
        <f aca="false">IFERROR(INDEX(Mentors!$T:$T,MATCH($B14,Mentors!$A:$A,0)),"")</f>
        <v/>
      </c>
      <c r="H14" s="23"/>
      <c r="I14" s="23"/>
    </row>
    <row r="15" customFormat="false" ht="15" hidden="false" customHeight="false" outlineLevel="0" collapsed="false">
      <c r="A15" s="29"/>
      <c r="B15" s="23"/>
      <c r="C15" s="23"/>
      <c r="D15" s="17" t="str">
        <f aca="false">IFERROR(INDEX(Mentors!$B:$B,MATCH($B15,Mentors!$A:$A,0)),"")</f>
        <v/>
      </c>
      <c r="E15" s="11" t="str">
        <f aca="false">IFERROR(INDEX(Mentors!$Q:$Q,MATCH($B15,Mentors!$A:$A,0)),"")</f>
        <v/>
      </c>
      <c r="F15" s="22" t="str">
        <f aca="false">IFERROR(INDEX(Mentors!$P:$P,MATCH($B15,Mentors!$A:$A,0)),"")</f>
        <v/>
      </c>
      <c r="G15" s="17" t="str">
        <f aca="false">IFERROR(INDEX(Mentors!$T:$T,MATCH($B15,Mentors!$A:$A,0)),"")</f>
        <v/>
      </c>
      <c r="H15" s="23"/>
      <c r="I15" s="23"/>
    </row>
    <row r="16" customFormat="false" ht="15" hidden="false" customHeight="false" outlineLevel="0" collapsed="false">
      <c r="A16" s="29"/>
      <c r="B16" s="23"/>
      <c r="C16" s="23"/>
      <c r="D16" s="17" t="str">
        <f aca="false">IFERROR(INDEX(Mentors!$B:$B,MATCH($B16,Mentors!$A:$A,0)),"")</f>
        <v/>
      </c>
      <c r="E16" s="11" t="str">
        <f aca="false">IFERROR(INDEX(Mentors!$Q:$Q,MATCH($B16,Mentors!$A:$A,0)),"")</f>
        <v/>
      </c>
      <c r="F16" s="22" t="str">
        <f aca="false">IFERROR(INDEX(Mentors!$P:$P,MATCH($B16,Mentors!$A:$A,0)),"")</f>
        <v/>
      </c>
      <c r="G16" s="17" t="str">
        <f aca="false">IFERROR(INDEX(Mentors!$T:$T,MATCH($B16,Mentors!$A:$A,0)),"")</f>
        <v/>
      </c>
      <c r="H16" s="23"/>
      <c r="I16" s="23"/>
    </row>
  </sheetData>
  <dataValidations count="1">
    <dataValidation allowBlank="true" errorStyle="stop" operator="between" showDropDown="false" showErrorMessage="false" showInputMessage="false" sqref="H6:H16" type="list">
      <formula1>"Assigned,Backup,No"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6"/>
  </cols>
  <sheetData>
    <row r="1" customFormat="false" ht="19.7" hidden="false" customHeight="false" outlineLevel="0" collapsed="false">
      <c r="A1" s="6" t="s">
        <v>179</v>
      </c>
    </row>
    <row r="2" customFormat="false" ht="15" hidden="false" customHeight="false" outlineLevel="0" collapsed="false">
      <c r="A2" s="18" t="s">
        <v>180</v>
      </c>
    </row>
    <row r="3" customFormat="false" ht="15" hidden="false" customHeight="false" outlineLevel="0" collapsed="false">
      <c r="A3" s="4" t="s">
        <v>121</v>
      </c>
      <c r="B3" s="19" t="s">
        <v>181</v>
      </c>
    </row>
    <row r="5" customFormat="false" ht="15" hidden="false" customHeight="false" outlineLevel="0" collapsed="false">
      <c r="A5" s="8" t="s">
        <v>123</v>
      </c>
      <c r="B5" s="8" t="s">
        <v>124</v>
      </c>
      <c r="C5" s="8" t="s">
        <v>125</v>
      </c>
      <c r="D5" s="8" t="s">
        <v>16</v>
      </c>
      <c r="E5" s="8" t="s">
        <v>31</v>
      </c>
      <c r="F5" s="8" t="s">
        <v>126</v>
      </c>
      <c r="G5" s="8" t="s">
        <v>34</v>
      </c>
      <c r="H5" s="8" t="s">
        <v>127</v>
      </c>
      <c r="I5" s="8" t="s">
        <v>38</v>
      </c>
    </row>
    <row r="6" customFormat="false" ht="22.35" hidden="false" customHeight="false" outlineLevel="0" collapsed="false">
      <c r="A6" s="20" t="n">
        <v>1</v>
      </c>
      <c r="B6" s="21" t="s">
        <v>75</v>
      </c>
      <c r="C6" s="22" t="s">
        <v>182</v>
      </c>
      <c r="D6" s="17" t="str">
        <f aca="false">IFERROR(INDEX(Mentors!$B:$B,MATCH($B6,Mentors!$A:$A,0)),"")</f>
        <v>In</v>
      </c>
      <c r="E6" s="11" t="str">
        <f aca="false">IFERROR(INDEX(Mentors!$Q:$Q,MATCH($B6,Mentors!$A:$A,0)),"")</f>
        <v>More</v>
      </c>
      <c r="F6" s="22" t="str">
        <f aca="false">IFERROR(INDEX(Mentors!$P:$P,MATCH($B6,Mentors!$A:$A,0)),"")</f>
        <v>Energy, Climate &amp; Sustainability, Health &amp; Bio</v>
      </c>
      <c r="G6" s="17" t="str">
        <f aca="false">IFERROR(INDEX(Mentors!$T:$T,MATCH($B6,Mentors!$A:$A,0)),"")</f>
        <v>Finland</v>
      </c>
      <c r="H6" s="23"/>
      <c r="I6" s="23"/>
    </row>
    <row r="7" customFormat="false" ht="22.35" hidden="false" customHeight="false" outlineLevel="0" collapsed="false">
      <c r="A7" s="20" t="n">
        <v>2</v>
      </c>
      <c r="B7" s="21" t="s">
        <v>81</v>
      </c>
      <c r="C7" s="22" t="s">
        <v>183</v>
      </c>
      <c r="D7" s="17" t="str">
        <f aca="false">IFERROR(INDEX(Mentors!$B:$B,MATCH($B7,Mentors!$A:$A,0)),"")</f>
        <v>In</v>
      </c>
      <c r="E7" s="11" t="str">
        <f aca="false">IFERROR(INDEX(Mentors!$Q:$Q,MATCH($B7,Mentors!$A:$A,0)),"")</f>
        <v>Two</v>
      </c>
      <c r="F7" s="22" t="str">
        <f aca="false">IFERROR(INDEX(Mentors!$P:$P,MATCH($B7,Mentors!$A:$A,0)),"")</f>
        <v>Hardware, Materials &amp; Manufacturing, Energy, Climate &amp; Sustainability</v>
      </c>
      <c r="G7" s="17" t="str">
        <f aca="false">IFERROR(INDEX(Mentors!$T:$T,MATCH($B7,Mentors!$A:$A,0)),"")</f>
        <v>Finland</v>
      </c>
      <c r="H7" s="23"/>
      <c r="I7" s="23"/>
    </row>
    <row r="8" customFormat="false" ht="15" hidden="false" customHeight="false" outlineLevel="0" collapsed="false">
      <c r="A8" s="20" t="n">
        <v>3</v>
      </c>
      <c r="B8" s="21" t="s">
        <v>99</v>
      </c>
      <c r="C8" s="22" t="s">
        <v>129</v>
      </c>
      <c r="D8" s="17" t="str">
        <f aca="false">IFERROR(INDEX(Mentors!$B:$B,MATCH($B8,Mentors!$A:$A,0)),"")</f>
        <v>In</v>
      </c>
      <c r="E8" s="11" t="str">
        <f aca="false">IFERROR(INDEX(Mentors!$Q:$Q,MATCH($B8,Mentors!$A:$A,0)),"")</f>
        <v>Two</v>
      </c>
      <c r="F8" s="22" t="str">
        <f aca="false">IFERROR(INDEX(Mentors!$P:$P,MATCH($B8,Mentors!$A:$A,0)),"")</f>
        <v>Cross-sector</v>
      </c>
      <c r="G8" s="17" t="str">
        <f aca="false">IFERROR(INDEX(Mentors!$T:$T,MATCH($B8,Mentors!$A:$A,0)),"")</f>
        <v>Finland</v>
      </c>
      <c r="H8" s="23"/>
      <c r="I8" s="23"/>
    </row>
    <row r="10" customFormat="false" ht="15" hidden="false" customHeight="false" outlineLevel="0" collapsed="false">
      <c r="A10" s="4" t="s">
        <v>131</v>
      </c>
      <c r="B10" s="24" t="s">
        <v>132</v>
      </c>
    </row>
    <row r="11" customFormat="false" ht="15" hidden="false" customHeight="false" outlineLevel="0" collapsed="false">
      <c r="A11" s="25" t="s">
        <v>116</v>
      </c>
      <c r="B11" s="26" t="s">
        <v>113</v>
      </c>
      <c r="C11" s="27" t="s">
        <v>133</v>
      </c>
      <c r="D11" s="28" t="str">
        <f aca="false">IFERROR(INDEX(Mentors!$B:$B,MATCH($B11,Mentors!$A:$A,0)),"")</f>
        <v>Ad-hoc</v>
      </c>
      <c r="E11" s="28" t="str">
        <f aca="false">IFERROR(INDEX(Mentors!$Q:$Q,MATCH($B11,Mentors!$A:$A,0)),"")</f>
        <v>One</v>
      </c>
      <c r="F11" s="28" t="str">
        <f aca="false">IFERROR(INDEX(Mentors!$P:$P,MATCH($B11,Mentors!$A:$A,0)),"")</f>
        <v>AI/ML &amp; Data</v>
      </c>
      <c r="G11" s="28" t="str">
        <f aca="false">IFERROR(INDEX(Mentors!$T:$T,MATCH($B11,Mentors!$A:$A,0)),"")</f>
        <v>Abroad</v>
      </c>
      <c r="H11" s="29"/>
      <c r="I11" s="29"/>
    </row>
    <row r="12" customFormat="false" ht="15" hidden="false" customHeight="false" outlineLevel="0" collapsed="false">
      <c r="A12" s="29"/>
      <c r="B12" s="23"/>
      <c r="C12" s="23"/>
      <c r="D12" s="17" t="str">
        <f aca="false">IFERROR(INDEX(Mentors!$B:$B,MATCH($B12,Mentors!$A:$A,0)),"")</f>
        <v/>
      </c>
      <c r="E12" s="11" t="str">
        <f aca="false">IFERROR(INDEX(Mentors!$Q:$Q,MATCH($B12,Mentors!$A:$A,0)),"")</f>
        <v/>
      </c>
      <c r="F12" s="22" t="str">
        <f aca="false">IFERROR(INDEX(Mentors!$P:$P,MATCH($B12,Mentors!$A:$A,0)),"")</f>
        <v/>
      </c>
      <c r="G12" s="17" t="str">
        <f aca="false">IFERROR(INDEX(Mentors!$T:$T,MATCH($B12,Mentors!$A:$A,0)),"")</f>
        <v/>
      </c>
      <c r="H12" s="23"/>
      <c r="I12" s="23"/>
    </row>
    <row r="13" customFormat="false" ht="15" hidden="false" customHeight="false" outlineLevel="0" collapsed="false">
      <c r="A13" s="29"/>
      <c r="B13" s="23"/>
      <c r="C13" s="23"/>
      <c r="D13" s="17" t="str">
        <f aca="false">IFERROR(INDEX(Mentors!$B:$B,MATCH($B13,Mentors!$A:$A,0)),"")</f>
        <v/>
      </c>
      <c r="E13" s="11" t="str">
        <f aca="false">IFERROR(INDEX(Mentors!$Q:$Q,MATCH($B13,Mentors!$A:$A,0)),"")</f>
        <v/>
      </c>
      <c r="F13" s="22" t="str">
        <f aca="false">IFERROR(INDEX(Mentors!$P:$P,MATCH($B13,Mentors!$A:$A,0)),"")</f>
        <v/>
      </c>
      <c r="G13" s="17" t="str">
        <f aca="false">IFERROR(INDEX(Mentors!$T:$T,MATCH($B13,Mentors!$A:$A,0)),"")</f>
        <v/>
      </c>
      <c r="H13" s="23"/>
      <c r="I13" s="23"/>
    </row>
    <row r="14" customFormat="false" ht="15" hidden="false" customHeight="false" outlineLevel="0" collapsed="false">
      <c r="A14" s="29"/>
      <c r="B14" s="23"/>
      <c r="C14" s="23"/>
      <c r="D14" s="17" t="str">
        <f aca="false">IFERROR(INDEX(Mentors!$B:$B,MATCH($B14,Mentors!$A:$A,0)),"")</f>
        <v/>
      </c>
      <c r="E14" s="11" t="str">
        <f aca="false">IFERROR(INDEX(Mentors!$Q:$Q,MATCH($B14,Mentors!$A:$A,0)),"")</f>
        <v/>
      </c>
      <c r="F14" s="22" t="str">
        <f aca="false">IFERROR(INDEX(Mentors!$P:$P,MATCH($B14,Mentors!$A:$A,0)),"")</f>
        <v/>
      </c>
      <c r="G14" s="17" t="str">
        <f aca="false">IFERROR(INDEX(Mentors!$T:$T,MATCH($B14,Mentors!$A:$A,0)),"")</f>
        <v/>
      </c>
      <c r="H14" s="23"/>
      <c r="I14" s="23"/>
    </row>
    <row r="15" customFormat="false" ht="15" hidden="false" customHeight="false" outlineLevel="0" collapsed="false">
      <c r="A15" s="29"/>
      <c r="B15" s="23"/>
      <c r="C15" s="23"/>
      <c r="D15" s="17" t="str">
        <f aca="false">IFERROR(INDEX(Mentors!$B:$B,MATCH($B15,Mentors!$A:$A,0)),"")</f>
        <v/>
      </c>
      <c r="E15" s="11" t="str">
        <f aca="false">IFERROR(INDEX(Mentors!$Q:$Q,MATCH($B15,Mentors!$A:$A,0)),"")</f>
        <v/>
      </c>
      <c r="F15" s="22" t="str">
        <f aca="false">IFERROR(INDEX(Mentors!$P:$P,MATCH($B15,Mentors!$A:$A,0)),"")</f>
        <v/>
      </c>
      <c r="G15" s="17" t="str">
        <f aca="false">IFERROR(INDEX(Mentors!$T:$T,MATCH($B15,Mentors!$A:$A,0)),"")</f>
        <v/>
      </c>
      <c r="H15" s="23"/>
      <c r="I15" s="23"/>
    </row>
    <row r="16" customFormat="false" ht="15" hidden="false" customHeight="false" outlineLevel="0" collapsed="false">
      <c r="A16" s="29"/>
      <c r="B16" s="23"/>
      <c r="C16" s="23"/>
      <c r="D16" s="17" t="str">
        <f aca="false">IFERROR(INDEX(Mentors!$B:$B,MATCH($B16,Mentors!$A:$A,0)),"")</f>
        <v/>
      </c>
      <c r="E16" s="11" t="str">
        <f aca="false">IFERROR(INDEX(Mentors!$Q:$Q,MATCH($B16,Mentors!$A:$A,0)),"")</f>
        <v/>
      </c>
      <c r="F16" s="22" t="str">
        <f aca="false">IFERROR(INDEX(Mentors!$P:$P,MATCH($B16,Mentors!$A:$A,0)),"")</f>
        <v/>
      </c>
      <c r="G16" s="17" t="str">
        <f aca="false">IFERROR(INDEX(Mentors!$T:$T,MATCH($B16,Mentors!$A:$A,0)),"")</f>
        <v/>
      </c>
      <c r="H16" s="23"/>
      <c r="I16" s="23"/>
    </row>
  </sheetData>
  <dataValidations count="1">
    <dataValidation allowBlank="true" errorStyle="stop" operator="between" showDropDown="false" showErrorMessage="false" showInputMessage="false" sqref="H6:H16" type="list">
      <formula1>"Assigned,Backup,No"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6"/>
  </cols>
  <sheetData>
    <row r="1" customFormat="false" ht="19.7" hidden="false" customHeight="false" outlineLevel="0" collapsed="false">
      <c r="A1" s="6" t="s">
        <v>184</v>
      </c>
    </row>
    <row r="2" customFormat="false" ht="15" hidden="false" customHeight="false" outlineLevel="0" collapsed="false">
      <c r="A2" s="18" t="s">
        <v>185</v>
      </c>
    </row>
    <row r="3" customFormat="false" ht="15" hidden="false" customHeight="false" outlineLevel="0" collapsed="false">
      <c r="A3" s="4" t="s">
        <v>121</v>
      </c>
      <c r="B3" s="19" t="s">
        <v>186</v>
      </c>
    </row>
    <row r="5" customFormat="false" ht="15" hidden="false" customHeight="false" outlineLevel="0" collapsed="false">
      <c r="A5" s="8" t="s">
        <v>123</v>
      </c>
      <c r="B5" s="8" t="s">
        <v>124</v>
      </c>
      <c r="C5" s="8" t="s">
        <v>125</v>
      </c>
      <c r="D5" s="8" t="s">
        <v>16</v>
      </c>
      <c r="E5" s="8" t="s">
        <v>31</v>
      </c>
      <c r="F5" s="8" t="s">
        <v>126</v>
      </c>
      <c r="G5" s="8" t="s">
        <v>34</v>
      </c>
      <c r="H5" s="8" t="s">
        <v>127</v>
      </c>
      <c r="I5" s="8" t="s">
        <v>38</v>
      </c>
    </row>
    <row r="6" customFormat="false" ht="22.35" hidden="false" customHeight="false" outlineLevel="0" collapsed="false">
      <c r="A6" s="20" t="n">
        <v>1</v>
      </c>
      <c r="B6" s="21" t="s">
        <v>63</v>
      </c>
      <c r="C6" s="22" t="s">
        <v>137</v>
      </c>
      <c r="D6" s="17" t="str">
        <f aca="false">IFERROR(INDEX(Mentors!$B:$B,MATCH($B6,Mentors!$A:$A,0)),"")</f>
        <v>In</v>
      </c>
      <c r="E6" s="11" t="str">
        <f aca="false">IFERROR(INDEX(Mentors!$Q:$Q,MATCH($B6,Mentors!$A:$A,0)),"")</f>
        <v>One</v>
      </c>
      <c r="F6" s="22" t="str">
        <f aca="false">IFERROR(INDEX(Mentors!$P:$P,MATCH($B6,Mentors!$A:$A,0)),"")</f>
        <v>AI/ML &amp; Data, Software / Cloud / Telecom</v>
      </c>
      <c r="G6" s="17" t="str">
        <f aca="false">IFERROR(INDEX(Mentors!$T:$T,MATCH($B6,Mentors!$A:$A,0)),"")</f>
        <v>Usa</v>
      </c>
      <c r="H6" s="23"/>
      <c r="I6" s="23"/>
    </row>
    <row r="7" customFormat="false" ht="22.35" hidden="false" customHeight="false" outlineLevel="0" collapsed="false">
      <c r="A7" s="20" t="n">
        <v>2</v>
      </c>
      <c r="B7" s="21" t="s">
        <v>90</v>
      </c>
      <c r="C7" s="22" t="s">
        <v>128</v>
      </c>
      <c r="D7" s="17" t="str">
        <f aca="false">IFERROR(INDEX(Mentors!$B:$B,MATCH($B7,Mentors!$A:$A,0)),"")</f>
        <v>Maybe</v>
      </c>
      <c r="E7" s="11" t="str">
        <f aca="false">IFERROR(INDEX(Mentors!$Q:$Q,MATCH($B7,Mentors!$A:$A,0)),"")</f>
        <v>Two</v>
      </c>
      <c r="F7" s="22" t="str">
        <f aca="false">IFERROR(INDEX(Mentors!$P:$P,MATCH($B7,Mentors!$A:$A,0)),"")</f>
        <v>AI/ML &amp; Data, Cross-sector</v>
      </c>
      <c r="G7" s="17" t="str">
        <f aca="false">IFERROR(INDEX(Mentors!$T:$T,MATCH($B7,Mentors!$A:$A,0)),"")</f>
        <v>USA</v>
      </c>
      <c r="H7" s="23"/>
      <c r="I7" s="23"/>
    </row>
    <row r="8" customFormat="false" ht="22.35" hidden="false" customHeight="false" outlineLevel="0" collapsed="false">
      <c r="A8" s="20" t="n">
        <v>3</v>
      </c>
      <c r="B8" s="21" t="s">
        <v>78</v>
      </c>
      <c r="C8" s="22" t="s">
        <v>165</v>
      </c>
      <c r="D8" s="17" t="str">
        <f aca="false">IFERROR(INDEX(Mentors!$B:$B,MATCH($B8,Mentors!$A:$A,0)),"")</f>
        <v>In</v>
      </c>
      <c r="E8" s="11" t="str">
        <f aca="false">IFERROR(INDEX(Mentors!$Q:$Q,MATCH($B8,Mentors!$A:$A,0)),"")</f>
        <v>One</v>
      </c>
      <c r="F8" s="22" t="str">
        <f aca="false">IFERROR(INDEX(Mentors!$P:$P,MATCH($B8,Mentors!$A:$A,0)),"")</f>
        <v>AI/ML &amp; Data, Software / Cloud / Telecom</v>
      </c>
      <c r="G8" s="17" t="str">
        <f aca="false">IFERROR(INDEX(Mentors!$T:$T,MATCH($B8,Mentors!$A:$A,0)),"")</f>
        <v>Spain</v>
      </c>
      <c r="H8" s="23"/>
      <c r="I8" s="23"/>
    </row>
    <row r="10" customFormat="false" ht="15" hidden="false" customHeight="false" outlineLevel="0" collapsed="false">
      <c r="A10" s="4" t="s">
        <v>131</v>
      </c>
      <c r="B10" s="24" t="s">
        <v>132</v>
      </c>
    </row>
    <row r="11" customFormat="false" ht="15" hidden="false" customHeight="false" outlineLevel="0" collapsed="false">
      <c r="A11" s="25" t="s">
        <v>116</v>
      </c>
      <c r="B11" s="26" t="s">
        <v>113</v>
      </c>
      <c r="C11" s="27" t="s">
        <v>133</v>
      </c>
      <c r="D11" s="28" t="str">
        <f aca="false">IFERROR(INDEX(Mentors!$B:$B,MATCH($B11,Mentors!$A:$A,0)),"")</f>
        <v>Ad-hoc</v>
      </c>
      <c r="E11" s="28" t="str">
        <f aca="false">IFERROR(INDEX(Mentors!$Q:$Q,MATCH($B11,Mentors!$A:$A,0)),"")</f>
        <v>One</v>
      </c>
      <c r="F11" s="28" t="str">
        <f aca="false">IFERROR(INDEX(Mentors!$P:$P,MATCH($B11,Mentors!$A:$A,0)),"")</f>
        <v>AI/ML &amp; Data</v>
      </c>
      <c r="G11" s="28" t="str">
        <f aca="false">IFERROR(INDEX(Mentors!$T:$T,MATCH($B11,Mentors!$A:$A,0)),"")</f>
        <v>Abroad</v>
      </c>
      <c r="H11" s="29"/>
      <c r="I11" s="29"/>
    </row>
    <row r="12" customFormat="false" ht="15" hidden="false" customHeight="false" outlineLevel="0" collapsed="false">
      <c r="A12" s="29"/>
      <c r="B12" s="23"/>
      <c r="C12" s="23"/>
      <c r="D12" s="17" t="str">
        <f aca="false">IFERROR(INDEX(Mentors!$B:$B,MATCH($B12,Mentors!$A:$A,0)),"")</f>
        <v/>
      </c>
      <c r="E12" s="11" t="str">
        <f aca="false">IFERROR(INDEX(Mentors!$Q:$Q,MATCH($B12,Mentors!$A:$A,0)),"")</f>
        <v/>
      </c>
      <c r="F12" s="22" t="str">
        <f aca="false">IFERROR(INDEX(Mentors!$P:$P,MATCH($B12,Mentors!$A:$A,0)),"")</f>
        <v/>
      </c>
      <c r="G12" s="17" t="str">
        <f aca="false">IFERROR(INDEX(Mentors!$T:$T,MATCH($B12,Mentors!$A:$A,0)),"")</f>
        <v/>
      </c>
      <c r="H12" s="23"/>
      <c r="I12" s="23"/>
    </row>
    <row r="13" customFormat="false" ht="15" hidden="false" customHeight="false" outlineLevel="0" collapsed="false">
      <c r="A13" s="29"/>
      <c r="B13" s="23"/>
      <c r="C13" s="23"/>
      <c r="D13" s="17" t="str">
        <f aca="false">IFERROR(INDEX(Mentors!$B:$B,MATCH($B13,Mentors!$A:$A,0)),"")</f>
        <v/>
      </c>
      <c r="E13" s="11" t="str">
        <f aca="false">IFERROR(INDEX(Mentors!$Q:$Q,MATCH($B13,Mentors!$A:$A,0)),"")</f>
        <v/>
      </c>
      <c r="F13" s="22" t="str">
        <f aca="false">IFERROR(INDEX(Mentors!$P:$P,MATCH($B13,Mentors!$A:$A,0)),"")</f>
        <v/>
      </c>
      <c r="G13" s="17" t="str">
        <f aca="false">IFERROR(INDEX(Mentors!$T:$T,MATCH($B13,Mentors!$A:$A,0)),"")</f>
        <v/>
      </c>
      <c r="H13" s="23"/>
      <c r="I13" s="23"/>
    </row>
    <row r="14" customFormat="false" ht="15" hidden="false" customHeight="false" outlineLevel="0" collapsed="false">
      <c r="A14" s="29"/>
      <c r="B14" s="23"/>
      <c r="C14" s="23"/>
      <c r="D14" s="17" t="str">
        <f aca="false">IFERROR(INDEX(Mentors!$B:$B,MATCH($B14,Mentors!$A:$A,0)),"")</f>
        <v/>
      </c>
      <c r="E14" s="11" t="str">
        <f aca="false">IFERROR(INDEX(Mentors!$Q:$Q,MATCH($B14,Mentors!$A:$A,0)),"")</f>
        <v/>
      </c>
      <c r="F14" s="22" t="str">
        <f aca="false">IFERROR(INDEX(Mentors!$P:$P,MATCH($B14,Mentors!$A:$A,0)),"")</f>
        <v/>
      </c>
      <c r="G14" s="17" t="str">
        <f aca="false">IFERROR(INDEX(Mentors!$T:$T,MATCH($B14,Mentors!$A:$A,0)),"")</f>
        <v/>
      </c>
      <c r="H14" s="23"/>
      <c r="I14" s="23"/>
    </row>
    <row r="15" customFormat="false" ht="15" hidden="false" customHeight="false" outlineLevel="0" collapsed="false">
      <c r="A15" s="29"/>
      <c r="B15" s="23"/>
      <c r="C15" s="23"/>
      <c r="D15" s="17" t="str">
        <f aca="false">IFERROR(INDEX(Mentors!$B:$B,MATCH($B15,Mentors!$A:$A,0)),"")</f>
        <v/>
      </c>
      <c r="E15" s="11" t="str">
        <f aca="false">IFERROR(INDEX(Mentors!$Q:$Q,MATCH($B15,Mentors!$A:$A,0)),"")</f>
        <v/>
      </c>
      <c r="F15" s="22" t="str">
        <f aca="false">IFERROR(INDEX(Mentors!$P:$P,MATCH($B15,Mentors!$A:$A,0)),"")</f>
        <v/>
      </c>
      <c r="G15" s="17" t="str">
        <f aca="false">IFERROR(INDEX(Mentors!$T:$T,MATCH($B15,Mentors!$A:$A,0)),"")</f>
        <v/>
      </c>
      <c r="H15" s="23"/>
      <c r="I15" s="23"/>
    </row>
    <row r="16" customFormat="false" ht="15" hidden="false" customHeight="false" outlineLevel="0" collapsed="false">
      <c r="A16" s="29"/>
      <c r="B16" s="23"/>
      <c r="C16" s="23"/>
      <c r="D16" s="17" t="str">
        <f aca="false">IFERROR(INDEX(Mentors!$B:$B,MATCH($B16,Mentors!$A:$A,0)),"")</f>
        <v/>
      </c>
      <c r="E16" s="11" t="str">
        <f aca="false">IFERROR(INDEX(Mentors!$Q:$Q,MATCH($B16,Mentors!$A:$A,0)),"")</f>
        <v/>
      </c>
      <c r="F16" s="22" t="str">
        <f aca="false">IFERROR(INDEX(Mentors!$P:$P,MATCH($B16,Mentors!$A:$A,0)),"")</f>
        <v/>
      </c>
      <c r="G16" s="17" t="str">
        <f aca="false">IFERROR(INDEX(Mentors!$T:$T,MATCH($B16,Mentors!$A:$A,0)),"")</f>
        <v/>
      </c>
      <c r="H16" s="23"/>
      <c r="I16" s="23"/>
    </row>
  </sheetData>
  <dataValidations count="1">
    <dataValidation allowBlank="true" errorStyle="stop" operator="between" showDropDown="false" showErrorMessage="false" showInputMessage="false" sqref="H6:H16" type="list">
      <formula1>"Assigned,Backup,No"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2026-09-02T06:53:52Z</dcterms:created>
  <dc:creator>openpyxl</dc:creator>
  <dc:description/>
  <dc:language>en-US</dc:language>
  <cp:lastModifiedBy/>
  <dcterms:modified xsi:type="dcterms:W3CDTF">2026-09-02T06:53:53Z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